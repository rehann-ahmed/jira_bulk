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03"/>
  <workbookPr/>
  <mc:AlternateContent xmlns:mc="http://schemas.openxmlformats.org/markup-compatibility/2006">
    <mc:Choice Requires="x15">
      <x15ac:absPath xmlns:x15ac="http://schemas.microsoft.com/office/spreadsheetml/2010/11/ac" url="C:\Users\manojjai\Documents\Perf AAVA\"/>
    </mc:Choice>
  </mc:AlternateContent>
  <xr:revisionPtr revIDLastSave="0" documentId="8_{400C0718-FCF6-40A0-9E02-892CF052A4E8}" xr6:coauthVersionLast="47" xr6:coauthVersionMax="47" xr10:uidLastSave="{00000000-0000-0000-0000-000000000000}"/>
  <bookViews>
    <workbookView xWindow="-110" yWindow="-110" windowWidth="19420" windowHeight="11500" firstSheet="7" activeTab="7" xr2:uid="{00000000-000D-0000-FFFF-FFFF00000000}"/>
  </bookViews>
  <sheets>
    <sheet name="Result_Summary-AMD-64GB" sheetId="4" state="hidden" r:id="rId1"/>
    <sheet name="AMD-64GB" sheetId="3" r:id="rId2"/>
    <sheet name="Qualcomm-32GB" sheetId="7" r:id="rId3"/>
    <sheet name="Result_Summary-Qualcomm-32GB" sheetId="6" state="hidden" r:id="rId4"/>
    <sheet name="AMD-32GB" sheetId="9" r:id="rId5"/>
    <sheet name="Result_Summary-AMD-32GB" sheetId="8" state="hidden" r:id="rId6"/>
    <sheet name="ResourceUtilizationReports" sheetId="10" r:id="rId7"/>
    <sheet name="Bugs_Observed" sheetId="5"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82" i="9" l="1"/>
  <c r="P182" i="9"/>
  <c r="Q182" i="9"/>
  <c r="R182" i="9"/>
  <c r="S182" i="9"/>
  <c r="T182" i="9"/>
  <c r="N182" i="9"/>
  <c r="O178" i="9"/>
  <c r="P178" i="9"/>
  <c r="Q178" i="9"/>
  <c r="R178" i="9"/>
  <c r="S178" i="9"/>
  <c r="T178" i="9"/>
  <c r="N178" i="9"/>
  <c r="O168" i="9"/>
  <c r="P168" i="9"/>
  <c r="Q168" i="9"/>
  <c r="R168" i="9"/>
  <c r="S168" i="9"/>
  <c r="T168" i="9"/>
  <c r="N168" i="9"/>
  <c r="N152" i="9"/>
  <c r="T212" i="9"/>
  <c r="S212" i="9"/>
  <c r="R212" i="9"/>
  <c r="Q212" i="9"/>
  <c r="P212" i="9"/>
  <c r="O212" i="9"/>
  <c r="N212" i="9"/>
  <c r="T211" i="9"/>
  <c r="S211" i="9"/>
  <c r="R211" i="9"/>
  <c r="Q211" i="9"/>
  <c r="P211" i="9"/>
  <c r="O211" i="9"/>
  <c r="N211" i="9"/>
  <c r="T210" i="9"/>
  <c r="S210" i="9"/>
  <c r="R210" i="9"/>
  <c r="Q210" i="9"/>
  <c r="P210" i="9"/>
  <c r="O210" i="9"/>
  <c r="N210" i="9"/>
  <c r="T209" i="9"/>
  <c r="S209" i="9"/>
  <c r="R209" i="9"/>
  <c r="Q209" i="9"/>
  <c r="P209" i="9"/>
  <c r="O209" i="9"/>
  <c r="N209" i="9"/>
  <c r="T208" i="9"/>
  <c r="S208" i="9"/>
  <c r="R208" i="9"/>
  <c r="Q208" i="9"/>
  <c r="P208" i="9"/>
  <c r="O208" i="9"/>
  <c r="N208" i="9"/>
  <c r="T202" i="9"/>
  <c r="S202" i="9"/>
  <c r="R202" i="9"/>
  <c r="Q202" i="9"/>
  <c r="P202" i="9"/>
  <c r="O202" i="9"/>
  <c r="N202" i="9"/>
  <c r="T201" i="9"/>
  <c r="S201" i="9"/>
  <c r="R201" i="9"/>
  <c r="Q201" i="9"/>
  <c r="P201" i="9"/>
  <c r="O201" i="9"/>
  <c r="N201" i="9"/>
  <c r="T200" i="9"/>
  <c r="S200" i="9"/>
  <c r="R200" i="9"/>
  <c r="Q200" i="9"/>
  <c r="P200" i="9"/>
  <c r="O200" i="9"/>
  <c r="N200" i="9"/>
  <c r="T199" i="9"/>
  <c r="S199" i="9"/>
  <c r="R199" i="9"/>
  <c r="Q199" i="9"/>
  <c r="P199" i="9"/>
  <c r="O199" i="9"/>
  <c r="N199" i="9"/>
  <c r="T198" i="9"/>
  <c r="S198" i="9"/>
  <c r="R198" i="9"/>
  <c r="Q198" i="9"/>
  <c r="P198" i="9"/>
  <c r="O198" i="9"/>
  <c r="N198" i="9"/>
  <c r="T192" i="9"/>
  <c r="S192" i="9"/>
  <c r="R192" i="9"/>
  <c r="Q192" i="9"/>
  <c r="P192" i="9"/>
  <c r="O192" i="9"/>
  <c r="N192" i="9"/>
  <c r="T191" i="9"/>
  <c r="S191" i="9"/>
  <c r="R191" i="9"/>
  <c r="Q191" i="9"/>
  <c r="P191" i="9"/>
  <c r="O191" i="9"/>
  <c r="N191" i="9"/>
  <c r="T190" i="9"/>
  <c r="S190" i="9"/>
  <c r="R190" i="9"/>
  <c r="Q190" i="9"/>
  <c r="P190" i="9"/>
  <c r="O190" i="9"/>
  <c r="N190" i="9"/>
  <c r="T189" i="9"/>
  <c r="S189" i="9"/>
  <c r="R189" i="9"/>
  <c r="Q189" i="9"/>
  <c r="P189" i="9"/>
  <c r="O189" i="9"/>
  <c r="N189" i="9"/>
  <c r="T188" i="9"/>
  <c r="S188" i="9"/>
  <c r="R188" i="9"/>
  <c r="Q188" i="9"/>
  <c r="P188" i="9"/>
  <c r="O188" i="9"/>
  <c r="N188" i="9"/>
  <c r="T181" i="9"/>
  <c r="S181" i="9"/>
  <c r="R181" i="9"/>
  <c r="Q181" i="9"/>
  <c r="P181" i="9"/>
  <c r="O181" i="9"/>
  <c r="N181" i="9"/>
  <c r="T180" i="9"/>
  <c r="S180" i="9"/>
  <c r="R180" i="9"/>
  <c r="Q180" i="9"/>
  <c r="P180" i="9"/>
  <c r="O180" i="9"/>
  <c r="N180" i="9"/>
  <c r="T179" i="9"/>
  <c r="S179" i="9"/>
  <c r="R179" i="9"/>
  <c r="Q179" i="9"/>
  <c r="P179" i="9"/>
  <c r="O179" i="9"/>
  <c r="N179" i="9"/>
  <c r="T172" i="9"/>
  <c r="S172" i="9"/>
  <c r="R172" i="9"/>
  <c r="Q172" i="9"/>
  <c r="P172" i="9"/>
  <c r="O172" i="9"/>
  <c r="N172" i="9"/>
  <c r="T171" i="9"/>
  <c r="S171" i="9"/>
  <c r="R171" i="9"/>
  <c r="Q171" i="9"/>
  <c r="P171" i="9"/>
  <c r="O171" i="9"/>
  <c r="N171" i="9"/>
  <c r="T170" i="9"/>
  <c r="S170" i="9"/>
  <c r="R170" i="9"/>
  <c r="Q170" i="9"/>
  <c r="P170" i="9"/>
  <c r="O170" i="9"/>
  <c r="N170" i="9"/>
  <c r="T169" i="9"/>
  <c r="S169" i="9"/>
  <c r="R169" i="9"/>
  <c r="Q169" i="9"/>
  <c r="P169" i="9"/>
  <c r="O169" i="9"/>
  <c r="N169" i="9"/>
  <c r="T162" i="9"/>
  <c r="S162" i="9"/>
  <c r="R162" i="9"/>
  <c r="Q162" i="9"/>
  <c r="P162" i="9"/>
  <c r="O162" i="9"/>
  <c r="N162" i="9"/>
  <c r="T161" i="9"/>
  <c r="S161" i="9"/>
  <c r="R161" i="9"/>
  <c r="Q161" i="9"/>
  <c r="P161" i="9"/>
  <c r="O161" i="9"/>
  <c r="N161" i="9"/>
  <c r="T160" i="9"/>
  <c r="S160" i="9"/>
  <c r="R160" i="9"/>
  <c r="Q160" i="9"/>
  <c r="P160" i="9"/>
  <c r="O160" i="9"/>
  <c r="N160" i="9"/>
  <c r="T159" i="9"/>
  <c r="S159" i="9"/>
  <c r="R159" i="9"/>
  <c r="Q159" i="9"/>
  <c r="P159" i="9"/>
  <c r="O159" i="9"/>
  <c r="N159" i="9"/>
  <c r="T158" i="9"/>
  <c r="S158" i="9"/>
  <c r="R158" i="9"/>
  <c r="Q158" i="9"/>
  <c r="P158" i="9"/>
  <c r="O158" i="9"/>
  <c r="N158" i="9"/>
  <c r="T152" i="9"/>
  <c r="S152" i="9"/>
  <c r="R152" i="9"/>
  <c r="Q152" i="9"/>
  <c r="P152" i="9"/>
  <c r="O152" i="9"/>
  <c r="T151" i="9"/>
  <c r="S151" i="9"/>
  <c r="R151" i="9"/>
  <c r="Q151" i="9"/>
  <c r="P151" i="9"/>
  <c r="O151" i="9"/>
  <c r="N151" i="9"/>
  <c r="T150" i="9"/>
  <c r="S150" i="9"/>
  <c r="R150" i="9"/>
  <c r="Q150" i="9"/>
  <c r="P150" i="9"/>
  <c r="O150" i="9"/>
  <c r="N150" i="9"/>
  <c r="T149" i="9"/>
  <c r="S149" i="9"/>
  <c r="R149" i="9"/>
  <c r="Q149" i="9"/>
  <c r="P149" i="9"/>
  <c r="O149" i="9"/>
  <c r="N149" i="9"/>
  <c r="T148" i="9"/>
  <c r="S148" i="9"/>
  <c r="R148" i="9"/>
  <c r="Q148" i="9"/>
  <c r="P148" i="9"/>
  <c r="O148" i="9"/>
  <c r="N148" i="9"/>
  <c r="T142" i="9"/>
  <c r="S142" i="9"/>
  <c r="R142" i="9"/>
  <c r="Q142" i="9"/>
  <c r="P142" i="9"/>
  <c r="O142" i="9"/>
  <c r="N142" i="9"/>
  <c r="T141" i="9"/>
  <c r="S141" i="9"/>
  <c r="R141" i="9"/>
  <c r="Q141" i="9"/>
  <c r="P141" i="9"/>
  <c r="O141" i="9"/>
  <c r="N141" i="9"/>
  <c r="T140" i="9"/>
  <c r="S140" i="9"/>
  <c r="R140" i="9"/>
  <c r="Q140" i="9"/>
  <c r="P140" i="9"/>
  <c r="O140" i="9"/>
  <c r="N140" i="9"/>
  <c r="T139" i="9"/>
  <c r="S139" i="9"/>
  <c r="R139" i="9"/>
  <c r="Q139" i="9"/>
  <c r="P139" i="9"/>
  <c r="O139" i="9"/>
  <c r="N139" i="9"/>
  <c r="T138" i="9"/>
  <c r="S138" i="9"/>
  <c r="R138" i="9"/>
  <c r="Q138" i="9"/>
  <c r="P138" i="9"/>
  <c r="O138" i="9"/>
  <c r="N138" i="9"/>
  <c r="T132" i="9"/>
  <c r="S132" i="9"/>
  <c r="R132" i="9"/>
  <c r="Q132" i="9"/>
  <c r="P132" i="9"/>
  <c r="O132" i="9"/>
  <c r="N132" i="9"/>
  <c r="T131" i="9"/>
  <c r="S131" i="9"/>
  <c r="R131" i="9"/>
  <c r="Q131" i="9"/>
  <c r="P131" i="9"/>
  <c r="O131" i="9"/>
  <c r="N131" i="9"/>
  <c r="T130" i="9"/>
  <c r="S130" i="9"/>
  <c r="R130" i="9"/>
  <c r="Q130" i="9"/>
  <c r="P130" i="9"/>
  <c r="O130" i="9"/>
  <c r="N130" i="9"/>
  <c r="T129" i="9"/>
  <c r="S129" i="9"/>
  <c r="R129" i="9"/>
  <c r="Q129" i="9"/>
  <c r="P129" i="9"/>
  <c r="O129" i="9"/>
  <c r="N129" i="9"/>
  <c r="T128" i="9"/>
  <c r="S128" i="9"/>
  <c r="R128" i="9"/>
  <c r="Q128" i="9"/>
  <c r="P128" i="9"/>
  <c r="O128" i="9"/>
  <c r="N128" i="9"/>
  <c r="T122" i="9"/>
  <c r="S122" i="9"/>
  <c r="R122" i="9"/>
  <c r="Q122" i="9"/>
  <c r="P122" i="9"/>
  <c r="O122" i="9"/>
  <c r="N122" i="9"/>
  <c r="T121" i="9"/>
  <c r="S121" i="9"/>
  <c r="R121" i="9"/>
  <c r="Q121" i="9"/>
  <c r="P121" i="9"/>
  <c r="O121" i="9"/>
  <c r="N121" i="9"/>
  <c r="T120" i="9"/>
  <c r="S120" i="9"/>
  <c r="R120" i="9"/>
  <c r="Q120" i="9"/>
  <c r="P120" i="9"/>
  <c r="O120" i="9"/>
  <c r="N120" i="9"/>
  <c r="T119" i="9"/>
  <c r="S119" i="9"/>
  <c r="R119" i="9"/>
  <c r="Q119" i="9"/>
  <c r="P119" i="9"/>
  <c r="O119" i="9"/>
  <c r="N119" i="9"/>
  <c r="T118" i="9"/>
  <c r="S118" i="9"/>
  <c r="R118" i="9"/>
  <c r="Q118" i="9"/>
  <c r="P118" i="9"/>
  <c r="O118" i="9"/>
  <c r="N118" i="9"/>
  <c r="T112" i="9"/>
  <c r="S112" i="9"/>
  <c r="R112" i="9"/>
  <c r="Q112" i="9"/>
  <c r="P112" i="9"/>
  <c r="O112" i="9"/>
  <c r="N112" i="9"/>
  <c r="T111" i="9"/>
  <c r="S111" i="9"/>
  <c r="R111" i="9"/>
  <c r="Q111" i="9"/>
  <c r="P111" i="9"/>
  <c r="O111" i="9"/>
  <c r="N111" i="9"/>
  <c r="T110" i="9"/>
  <c r="S110" i="9"/>
  <c r="R110" i="9"/>
  <c r="Q110" i="9"/>
  <c r="P110" i="9"/>
  <c r="O110" i="9"/>
  <c r="N110" i="9"/>
  <c r="T109" i="9"/>
  <c r="S109" i="9"/>
  <c r="R109" i="9"/>
  <c r="Q109" i="9"/>
  <c r="P109" i="9"/>
  <c r="O109" i="9"/>
  <c r="N109" i="9"/>
  <c r="T108" i="9"/>
  <c r="S108" i="9"/>
  <c r="R108" i="9"/>
  <c r="Q108" i="9"/>
  <c r="P108" i="9"/>
  <c r="O108" i="9"/>
  <c r="N108" i="9"/>
  <c r="T102" i="9"/>
  <c r="S102" i="9"/>
  <c r="R102" i="9"/>
  <c r="Q102" i="9"/>
  <c r="P102" i="9"/>
  <c r="O102" i="9"/>
  <c r="N102" i="9"/>
  <c r="T101" i="9"/>
  <c r="S101" i="9"/>
  <c r="R101" i="9"/>
  <c r="Q101" i="9"/>
  <c r="P101" i="9"/>
  <c r="O101" i="9"/>
  <c r="N101" i="9"/>
  <c r="T100" i="9"/>
  <c r="S100" i="9"/>
  <c r="R100" i="9"/>
  <c r="Q100" i="9"/>
  <c r="P100" i="9"/>
  <c r="O100" i="9"/>
  <c r="N100" i="9"/>
  <c r="T99" i="9"/>
  <c r="S99" i="9"/>
  <c r="R99" i="9"/>
  <c r="Q99" i="9"/>
  <c r="P99" i="9"/>
  <c r="O99" i="9"/>
  <c r="N99" i="9"/>
  <c r="T98" i="9"/>
  <c r="S98" i="9"/>
  <c r="R98" i="9"/>
  <c r="Q98" i="9"/>
  <c r="P98" i="9"/>
  <c r="O98" i="9"/>
  <c r="N98" i="9"/>
  <c r="T92" i="9"/>
  <c r="S92" i="9"/>
  <c r="R92" i="9"/>
  <c r="Q92" i="9"/>
  <c r="P92" i="9"/>
  <c r="O92" i="9"/>
  <c r="N92" i="9"/>
  <c r="T91" i="9"/>
  <c r="S91" i="9"/>
  <c r="R91" i="9"/>
  <c r="Q91" i="9"/>
  <c r="P91" i="9"/>
  <c r="O91" i="9"/>
  <c r="N91" i="9"/>
  <c r="T90" i="9"/>
  <c r="S90" i="9"/>
  <c r="R90" i="9"/>
  <c r="Q90" i="9"/>
  <c r="P90" i="9"/>
  <c r="O90" i="9"/>
  <c r="N90" i="9"/>
  <c r="T89" i="9"/>
  <c r="S89" i="9"/>
  <c r="R89" i="9"/>
  <c r="Q89" i="9"/>
  <c r="P89" i="9"/>
  <c r="O89" i="9"/>
  <c r="N89" i="9"/>
  <c r="T88" i="9"/>
  <c r="S88" i="9"/>
  <c r="R88" i="9"/>
  <c r="Q88" i="9"/>
  <c r="P88" i="9"/>
  <c r="O88" i="9"/>
  <c r="N88" i="9"/>
  <c r="T82" i="9"/>
  <c r="S82" i="9"/>
  <c r="R82" i="9"/>
  <c r="Q82" i="9"/>
  <c r="P82" i="9"/>
  <c r="O82" i="9"/>
  <c r="N82" i="9"/>
  <c r="T81" i="9"/>
  <c r="S81" i="9"/>
  <c r="R81" i="9"/>
  <c r="Q81" i="9"/>
  <c r="P81" i="9"/>
  <c r="O81" i="9"/>
  <c r="N81" i="9"/>
  <c r="T80" i="9"/>
  <c r="S80" i="9"/>
  <c r="R80" i="9"/>
  <c r="Q80" i="9"/>
  <c r="P80" i="9"/>
  <c r="O80" i="9"/>
  <c r="N80" i="9"/>
  <c r="T79" i="9"/>
  <c r="S79" i="9"/>
  <c r="R79" i="9"/>
  <c r="Q79" i="9"/>
  <c r="P79" i="9"/>
  <c r="O79" i="9"/>
  <c r="N79" i="9"/>
  <c r="T78" i="9"/>
  <c r="S78" i="9"/>
  <c r="R78" i="9"/>
  <c r="Q78" i="9"/>
  <c r="P78" i="9"/>
  <c r="O78" i="9"/>
  <c r="N78" i="9"/>
  <c r="T72" i="9"/>
  <c r="S72" i="9"/>
  <c r="R72" i="9"/>
  <c r="Q72" i="9"/>
  <c r="P72" i="9"/>
  <c r="O72" i="9"/>
  <c r="N72" i="9"/>
  <c r="T71" i="9"/>
  <c r="S71" i="9"/>
  <c r="R71" i="9"/>
  <c r="Q71" i="9"/>
  <c r="P71" i="9"/>
  <c r="O71" i="9"/>
  <c r="N71" i="9"/>
  <c r="T70" i="9"/>
  <c r="S70" i="9"/>
  <c r="R70" i="9"/>
  <c r="Q70" i="9"/>
  <c r="P70" i="9"/>
  <c r="O70" i="9"/>
  <c r="N70" i="9"/>
  <c r="T69" i="9"/>
  <c r="S69" i="9"/>
  <c r="R69" i="9"/>
  <c r="Q69" i="9"/>
  <c r="P69" i="9"/>
  <c r="O69" i="9"/>
  <c r="N69" i="9"/>
  <c r="T68" i="9"/>
  <c r="S68" i="9"/>
  <c r="R68" i="9"/>
  <c r="Q68" i="9"/>
  <c r="P68" i="9"/>
  <c r="O68" i="9"/>
  <c r="N68" i="9"/>
  <c r="T62" i="9"/>
  <c r="S62" i="9"/>
  <c r="R62" i="9"/>
  <c r="Q62" i="9"/>
  <c r="P62" i="9"/>
  <c r="O62" i="9"/>
  <c r="N62" i="9"/>
  <c r="T61" i="9"/>
  <c r="S61" i="9"/>
  <c r="R61" i="9"/>
  <c r="Q61" i="9"/>
  <c r="P61" i="9"/>
  <c r="O61" i="9"/>
  <c r="N61" i="9"/>
  <c r="T60" i="9"/>
  <c r="S60" i="9"/>
  <c r="R60" i="9"/>
  <c r="Q60" i="9"/>
  <c r="P60" i="9"/>
  <c r="O60" i="9"/>
  <c r="N60" i="9"/>
  <c r="T59" i="9"/>
  <c r="S59" i="9"/>
  <c r="R59" i="9"/>
  <c r="Q59" i="9"/>
  <c r="P59" i="9"/>
  <c r="O59" i="9"/>
  <c r="N59" i="9"/>
  <c r="T58" i="9"/>
  <c r="S58" i="9"/>
  <c r="R58" i="9"/>
  <c r="Q58" i="9"/>
  <c r="P58" i="9"/>
  <c r="O58" i="9"/>
  <c r="N58" i="9"/>
  <c r="T52" i="9"/>
  <c r="S52" i="9"/>
  <c r="R52" i="9"/>
  <c r="Q52" i="9"/>
  <c r="P52" i="9"/>
  <c r="O52" i="9"/>
  <c r="N52" i="9"/>
  <c r="T51" i="9"/>
  <c r="S51" i="9"/>
  <c r="R51" i="9"/>
  <c r="Q51" i="9"/>
  <c r="P51" i="9"/>
  <c r="O51" i="9"/>
  <c r="N51" i="9"/>
  <c r="T50" i="9"/>
  <c r="S50" i="9"/>
  <c r="R50" i="9"/>
  <c r="Q50" i="9"/>
  <c r="P50" i="9"/>
  <c r="O50" i="9"/>
  <c r="N50" i="9"/>
  <c r="T49" i="9"/>
  <c r="S49" i="9"/>
  <c r="R49" i="9"/>
  <c r="Q49" i="9"/>
  <c r="P49" i="9"/>
  <c r="O49" i="9"/>
  <c r="N49" i="9"/>
  <c r="T48" i="9"/>
  <c r="S48" i="9"/>
  <c r="R48" i="9"/>
  <c r="Q48" i="9"/>
  <c r="P48" i="9"/>
  <c r="O48" i="9"/>
  <c r="N48" i="9"/>
  <c r="T42" i="9"/>
  <c r="S42" i="9"/>
  <c r="R42" i="9"/>
  <c r="Q42" i="9"/>
  <c r="P42" i="9"/>
  <c r="O42" i="9"/>
  <c r="N42" i="9"/>
  <c r="T41" i="9"/>
  <c r="S41" i="9"/>
  <c r="R41" i="9"/>
  <c r="Q41" i="9"/>
  <c r="P41" i="9"/>
  <c r="O41" i="9"/>
  <c r="N41" i="9"/>
  <c r="T40" i="9"/>
  <c r="S40" i="9"/>
  <c r="R40" i="9"/>
  <c r="Q40" i="9"/>
  <c r="P40" i="9"/>
  <c r="O40" i="9"/>
  <c r="N40" i="9"/>
  <c r="T39" i="9"/>
  <c r="S39" i="9"/>
  <c r="R39" i="9"/>
  <c r="Q39" i="9"/>
  <c r="P39" i="9"/>
  <c r="O39" i="9"/>
  <c r="N39" i="9"/>
  <c r="T38" i="9"/>
  <c r="S38" i="9"/>
  <c r="R38" i="9"/>
  <c r="Q38" i="9"/>
  <c r="P38" i="9"/>
  <c r="O38" i="9"/>
  <c r="N38" i="9"/>
  <c r="N33" i="9"/>
  <c r="N32" i="9"/>
  <c r="N31" i="9"/>
  <c r="N30" i="9"/>
  <c r="N29" i="9"/>
  <c r="N28" i="9"/>
  <c r="N27" i="9"/>
  <c r="N26" i="9"/>
  <c r="N25" i="9"/>
  <c r="N24" i="9"/>
  <c r="N23" i="9"/>
  <c r="N22" i="9"/>
  <c r="N21" i="9"/>
  <c r="N20" i="9"/>
  <c r="N19" i="9"/>
  <c r="N18" i="9"/>
  <c r="N17" i="9"/>
  <c r="T15" i="9"/>
  <c r="S15" i="9"/>
  <c r="R15" i="9"/>
  <c r="Q15" i="9"/>
  <c r="P15" i="9"/>
  <c r="O15" i="9"/>
  <c r="N15" i="9"/>
  <c r="T14" i="9"/>
  <c r="S14" i="9"/>
  <c r="R14" i="9"/>
  <c r="Q14" i="9"/>
  <c r="P14" i="9"/>
  <c r="O14" i="9"/>
  <c r="N14" i="9"/>
  <c r="T13" i="9"/>
  <c r="S13" i="9"/>
  <c r="R13" i="9"/>
  <c r="Q13" i="9"/>
  <c r="P13" i="9"/>
  <c r="O13" i="9"/>
  <c r="N13" i="9"/>
  <c r="T12" i="9"/>
  <c r="S12" i="9"/>
  <c r="R12" i="9"/>
  <c r="Q12" i="9"/>
  <c r="P12" i="9"/>
  <c r="O12" i="9"/>
  <c r="N12" i="9"/>
  <c r="T11" i="9"/>
  <c r="S11" i="9"/>
  <c r="R11" i="9"/>
  <c r="Q11" i="9"/>
  <c r="P11" i="9"/>
  <c r="O11" i="9"/>
  <c r="N11" i="9"/>
  <c r="T102" i="7"/>
  <c r="S102" i="7"/>
  <c r="R102" i="7"/>
  <c r="Q102" i="7"/>
  <c r="P102" i="7"/>
  <c r="O102" i="7"/>
  <c r="N102" i="7"/>
  <c r="T101" i="7"/>
  <c r="S101" i="7"/>
  <c r="R101" i="7"/>
  <c r="Q101" i="7"/>
  <c r="P101" i="7"/>
  <c r="O101" i="7"/>
  <c r="N101" i="7"/>
  <c r="T100" i="7"/>
  <c r="S100" i="7"/>
  <c r="R100" i="7"/>
  <c r="Q100" i="7"/>
  <c r="P100" i="7"/>
  <c r="O100" i="7"/>
  <c r="N100" i="7"/>
  <c r="T99" i="7"/>
  <c r="S99" i="7"/>
  <c r="R99" i="7"/>
  <c r="Q99" i="7"/>
  <c r="P99" i="7"/>
  <c r="O99" i="7"/>
  <c r="N99" i="7"/>
  <c r="T98" i="7"/>
  <c r="S98" i="7"/>
  <c r="R98" i="7"/>
  <c r="Q98" i="7"/>
  <c r="P98" i="7"/>
  <c r="O98" i="7"/>
  <c r="N98" i="7"/>
  <c r="O169" i="3"/>
  <c r="P169" i="3"/>
  <c r="Q169" i="3"/>
  <c r="R169" i="3"/>
  <c r="S169" i="3"/>
  <c r="T169" i="3"/>
  <c r="N169" i="3"/>
  <c r="O178" i="7"/>
  <c r="P178" i="7"/>
  <c r="Q178" i="7"/>
  <c r="R178" i="7"/>
  <c r="S178" i="7"/>
  <c r="T178" i="7"/>
  <c r="N178" i="7"/>
  <c r="N39" i="7"/>
  <c r="N40" i="7"/>
  <c r="N41" i="7"/>
  <c r="N42" i="7"/>
  <c r="N48" i="7"/>
  <c r="N49" i="7"/>
  <c r="N50" i="7"/>
  <c r="N51" i="7"/>
  <c r="N52" i="7"/>
  <c r="N168" i="7"/>
  <c r="N169" i="7"/>
  <c r="N170" i="7"/>
  <c r="N171" i="7"/>
  <c r="N172" i="7"/>
  <c r="N78" i="7"/>
  <c r="N79" i="7"/>
  <c r="N80" i="7"/>
  <c r="N81" i="7"/>
  <c r="N82" i="7"/>
  <c r="N38" i="7"/>
  <c r="T222" i="7"/>
  <c r="S222" i="7"/>
  <c r="R222" i="7"/>
  <c r="Q222" i="7"/>
  <c r="P222" i="7"/>
  <c r="O222" i="7"/>
  <c r="N222" i="7"/>
  <c r="T221" i="7"/>
  <c r="S221" i="7"/>
  <c r="R221" i="7"/>
  <c r="Q221" i="7"/>
  <c r="P221" i="7"/>
  <c r="O221" i="7"/>
  <c r="N221" i="7"/>
  <c r="T220" i="7"/>
  <c r="S220" i="7"/>
  <c r="R220" i="7"/>
  <c r="Q220" i="7"/>
  <c r="P220" i="7"/>
  <c r="O220" i="7"/>
  <c r="N220" i="7"/>
  <c r="T219" i="7"/>
  <c r="S219" i="7"/>
  <c r="R219" i="7"/>
  <c r="Q219" i="7"/>
  <c r="P219" i="7"/>
  <c r="O219" i="7"/>
  <c r="N219" i="7"/>
  <c r="T218" i="7"/>
  <c r="S218" i="7"/>
  <c r="R218" i="7"/>
  <c r="Q218" i="7"/>
  <c r="P218" i="7"/>
  <c r="O218" i="7"/>
  <c r="N218" i="7"/>
  <c r="T212" i="7"/>
  <c r="S212" i="7"/>
  <c r="R212" i="7"/>
  <c r="Q212" i="7"/>
  <c r="P212" i="7"/>
  <c r="O212" i="7"/>
  <c r="N212" i="7"/>
  <c r="T211" i="7"/>
  <c r="S211" i="7"/>
  <c r="R211" i="7"/>
  <c r="Q211" i="7"/>
  <c r="P211" i="7"/>
  <c r="O211" i="7"/>
  <c r="N211" i="7"/>
  <c r="T210" i="7"/>
  <c r="S210" i="7"/>
  <c r="R210" i="7"/>
  <c r="Q210" i="7"/>
  <c r="P210" i="7"/>
  <c r="O210" i="7"/>
  <c r="N210" i="7"/>
  <c r="T209" i="7"/>
  <c r="S209" i="7"/>
  <c r="R209" i="7"/>
  <c r="Q209" i="7"/>
  <c r="P209" i="7"/>
  <c r="O209" i="7"/>
  <c r="N209" i="7"/>
  <c r="T208" i="7"/>
  <c r="S208" i="7"/>
  <c r="R208" i="7"/>
  <c r="Q208" i="7"/>
  <c r="P208" i="7"/>
  <c r="O208" i="7"/>
  <c r="N208" i="7"/>
  <c r="T202" i="7"/>
  <c r="S202" i="7"/>
  <c r="R202" i="7"/>
  <c r="Q202" i="7"/>
  <c r="P202" i="7"/>
  <c r="O202" i="7"/>
  <c r="N202" i="7"/>
  <c r="T201" i="7"/>
  <c r="S201" i="7"/>
  <c r="R201" i="7"/>
  <c r="Q201" i="7"/>
  <c r="P201" i="7"/>
  <c r="O201" i="7"/>
  <c r="N201" i="7"/>
  <c r="T200" i="7"/>
  <c r="S200" i="7"/>
  <c r="R200" i="7"/>
  <c r="Q200" i="7"/>
  <c r="P200" i="7"/>
  <c r="O200" i="7"/>
  <c r="N200" i="7"/>
  <c r="T199" i="7"/>
  <c r="S199" i="7"/>
  <c r="R199" i="7"/>
  <c r="Q199" i="7"/>
  <c r="P199" i="7"/>
  <c r="O199" i="7"/>
  <c r="N199" i="7"/>
  <c r="T198" i="7"/>
  <c r="S198" i="7"/>
  <c r="R198" i="7"/>
  <c r="Q198" i="7"/>
  <c r="P198" i="7"/>
  <c r="O198" i="7"/>
  <c r="N198" i="7"/>
  <c r="T192" i="7"/>
  <c r="S192" i="7"/>
  <c r="R192" i="7"/>
  <c r="Q192" i="7"/>
  <c r="P192" i="7"/>
  <c r="O192" i="7"/>
  <c r="N192" i="7"/>
  <c r="T191" i="7"/>
  <c r="S191" i="7"/>
  <c r="R191" i="7"/>
  <c r="Q191" i="7"/>
  <c r="P191" i="7"/>
  <c r="O191" i="7"/>
  <c r="N191" i="7"/>
  <c r="T190" i="7"/>
  <c r="S190" i="7"/>
  <c r="R190" i="7"/>
  <c r="Q190" i="7"/>
  <c r="P190" i="7"/>
  <c r="O190" i="7"/>
  <c r="N190" i="7"/>
  <c r="T189" i="7"/>
  <c r="S189" i="7"/>
  <c r="R189" i="7"/>
  <c r="Q189" i="7"/>
  <c r="P189" i="7"/>
  <c r="O189" i="7"/>
  <c r="N189" i="7"/>
  <c r="T188" i="7"/>
  <c r="S188" i="7"/>
  <c r="R188" i="7"/>
  <c r="Q188" i="7"/>
  <c r="P188" i="7"/>
  <c r="O188" i="7"/>
  <c r="N188" i="7"/>
  <c r="T182" i="7"/>
  <c r="S182" i="7"/>
  <c r="R182" i="7"/>
  <c r="Q182" i="7"/>
  <c r="P182" i="7"/>
  <c r="O182" i="7"/>
  <c r="N182" i="7"/>
  <c r="T181" i="7"/>
  <c r="S181" i="7"/>
  <c r="R181" i="7"/>
  <c r="Q181" i="7"/>
  <c r="P181" i="7"/>
  <c r="O181" i="7"/>
  <c r="N181" i="7"/>
  <c r="T180" i="7"/>
  <c r="S180" i="7"/>
  <c r="R180" i="7"/>
  <c r="Q180" i="7"/>
  <c r="P180" i="7"/>
  <c r="O180" i="7"/>
  <c r="N180" i="7"/>
  <c r="T179" i="7"/>
  <c r="S179" i="7"/>
  <c r="R179" i="7"/>
  <c r="Q179" i="7"/>
  <c r="P179" i="7"/>
  <c r="O179" i="7"/>
  <c r="N179" i="7"/>
  <c r="T172" i="7"/>
  <c r="S172" i="7"/>
  <c r="R172" i="7"/>
  <c r="Q172" i="7"/>
  <c r="P172" i="7"/>
  <c r="O172" i="7"/>
  <c r="T171" i="7"/>
  <c r="S171" i="7"/>
  <c r="R171" i="7"/>
  <c r="Q171" i="7"/>
  <c r="P171" i="7"/>
  <c r="O171" i="7"/>
  <c r="T170" i="7"/>
  <c r="S170" i="7"/>
  <c r="R170" i="7"/>
  <c r="Q170" i="7"/>
  <c r="P170" i="7"/>
  <c r="O170" i="7"/>
  <c r="T169" i="7"/>
  <c r="S169" i="7"/>
  <c r="R169" i="7"/>
  <c r="Q169" i="7"/>
  <c r="P169" i="7"/>
  <c r="O169" i="7"/>
  <c r="T168" i="7"/>
  <c r="S168" i="7"/>
  <c r="R168" i="7"/>
  <c r="Q168" i="7"/>
  <c r="P168" i="7"/>
  <c r="O168" i="7"/>
  <c r="T162" i="7"/>
  <c r="S162" i="7"/>
  <c r="R162" i="7"/>
  <c r="Q162" i="7"/>
  <c r="P162" i="7"/>
  <c r="O162" i="7"/>
  <c r="N162" i="7"/>
  <c r="T161" i="7"/>
  <c r="S161" i="7"/>
  <c r="R161" i="7"/>
  <c r="Q161" i="7"/>
  <c r="P161" i="7"/>
  <c r="O161" i="7"/>
  <c r="N161" i="7"/>
  <c r="T160" i="7"/>
  <c r="S160" i="7"/>
  <c r="R160" i="7"/>
  <c r="Q160" i="7"/>
  <c r="P160" i="7"/>
  <c r="O160" i="7"/>
  <c r="N160" i="7"/>
  <c r="T159" i="7"/>
  <c r="S159" i="7"/>
  <c r="R159" i="7"/>
  <c r="Q159" i="7"/>
  <c r="P159" i="7"/>
  <c r="O159" i="7"/>
  <c r="N159" i="7"/>
  <c r="T158" i="7"/>
  <c r="S158" i="7"/>
  <c r="R158" i="7"/>
  <c r="Q158" i="7"/>
  <c r="P158" i="7"/>
  <c r="O158" i="7"/>
  <c r="N158" i="7"/>
  <c r="T152" i="7"/>
  <c r="S152" i="7"/>
  <c r="R152" i="7"/>
  <c r="Q152" i="7"/>
  <c r="P152" i="7"/>
  <c r="O152" i="7"/>
  <c r="N152" i="7"/>
  <c r="T151" i="7"/>
  <c r="S151" i="7"/>
  <c r="R151" i="7"/>
  <c r="Q151" i="7"/>
  <c r="P151" i="7"/>
  <c r="O151" i="7"/>
  <c r="N151" i="7"/>
  <c r="T150" i="7"/>
  <c r="S150" i="7"/>
  <c r="R150" i="7"/>
  <c r="Q150" i="7"/>
  <c r="P150" i="7"/>
  <c r="O150" i="7"/>
  <c r="N150" i="7"/>
  <c r="T149" i="7"/>
  <c r="S149" i="7"/>
  <c r="R149" i="7"/>
  <c r="Q149" i="7"/>
  <c r="P149" i="7"/>
  <c r="O149" i="7"/>
  <c r="N149" i="7"/>
  <c r="T148" i="7"/>
  <c r="S148" i="7"/>
  <c r="R148" i="7"/>
  <c r="Q148" i="7"/>
  <c r="P148" i="7"/>
  <c r="O148" i="7"/>
  <c r="N148" i="7"/>
  <c r="T142" i="7"/>
  <c r="S142" i="7"/>
  <c r="R142" i="7"/>
  <c r="Q142" i="7"/>
  <c r="P142" i="7"/>
  <c r="O142" i="7"/>
  <c r="N142" i="7"/>
  <c r="T141" i="7"/>
  <c r="S141" i="7"/>
  <c r="R141" i="7"/>
  <c r="Q141" i="7"/>
  <c r="P141" i="7"/>
  <c r="O141" i="7"/>
  <c r="N141" i="7"/>
  <c r="T140" i="7"/>
  <c r="S140" i="7"/>
  <c r="R140" i="7"/>
  <c r="Q140" i="7"/>
  <c r="P140" i="7"/>
  <c r="O140" i="7"/>
  <c r="N140" i="7"/>
  <c r="T139" i="7"/>
  <c r="S139" i="7"/>
  <c r="R139" i="7"/>
  <c r="Q139" i="7"/>
  <c r="P139" i="7"/>
  <c r="O139" i="7"/>
  <c r="N139" i="7"/>
  <c r="T138" i="7"/>
  <c r="S138" i="7"/>
  <c r="R138" i="7"/>
  <c r="Q138" i="7"/>
  <c r="P138" i="7"/>
  <c r="O138" i="7"/>
  <c r="N138" i="7"/>
  <c r="T132" i="7"/>
  <c r="S132" i="7"/>
  <c r="R132" i="7"/>
  <c r="Q132" i="7"/>
  <c r="P132" i="7"/>
  <c r="O132" i="7"/>
  <c r="N132" i="7"/>
  <c r="T131" i="7"/>
  <c r="S131" i="7"/>
  <c r="R131" i="7"/>
  <c r="Q131" i="7"/>
  <c r="P131" i="7"/>
  <c r="O131" i="7"/>
  <c r="N131" i="7"/>
  <c r="T130" i="7"/>
  <c r="S130" i="7"/>
  <c r="R130" i="7"/>
  <c r="Q130" i="7"/>
  <c r="P130" i="7"/>
  <c r="O130" i="7"/>
  <c r="N130" i="7"/>
  <c r="T129" i="7"/>
  <c r="S129" i="7"/>
  <c r="R129" i="7"/>
  <c r="Q129" i="7"/>
  <c r="P129" i="7"/>
  <c r="O129" i="7"/>
  <c r="N129" i="7"/>
  <c r="T128" i="7"/>
  <c r="S128" i="7"/>
  <c r="R128" i="7"/>
  <c r="Q128" i="7"/>
  <c r="P128" i="7"/>
  <c r="O128" i="7"/>
  <c r="N128" i="7"/>
  <c r="T122" i="7"/>
  <c r="S122" i="7"/>
  <c r="R122" i="7"/>
  <c r="Q122" i="7"/>
  <c r="P122" i="7"/>
  <c r="O122" i="7"/>
  <c r="N122" i="7"/>
  <c r="T121" i="7"/>
  <c r="S121" i="7"/>
  <c r="R121" i="7"/>
  <c r="Q121" i="7"/>
  <c r="P121" i="7"/>
  <c r="O121" i="7"/>
  <c r="N121" i="7"/>
  <c r="T120" i="7"/>
  <c r="S120" i="7"/>
  <c r="R120" i="7"/>
  <c r="Q120" i="7"/>
  <c r="P120" i="7"/>
  <c r="O120" i="7"/>
  <c r="N120" i="7"/>
  <c r="T119" i="7"/>
  <c r="S119" i="7"/>
  <c r="R119" i="7"/>
  <c r="Q119" i="7"/>
  <c r="P119" i="7"/>
  <c r="O119" i="7"/>
  <c r="N119" i="7"/>
  <c r="T118" i="7"/>
  <c r="S118" i="7"/>
  <c r="R118" i="7"/>
  <c r="Q118" i="7"/>
  <c r="P118" i="7"/>
  <c r="O118" i="7"/>
  <c r="N118" i="7"/>
  <c r="T112" i="7"/>
  <c r="S112" i="7"/>
  <c r="R112" i="7"/>
  <c r="Q112" i="7"/>
  <c r="P112" i="7"/>
  <c r="O112" i="7"/>
  <c r="N112" i="7"/>
  <c r="T111" i="7"/>
  <c r="S111" i="7"/>
  <c r="R111" i="7"/>
  <c r="Q111" i="7"/>
  <c r="P111" i="7"/>
  <c r="O111" i="7"/>
  <c r="N111" i="7"/>
  <c r="T110" i="7"/>
  <c r="S110" i="7"/>
  <c r="R110" i="7"/>
  <c r="Q110" i="7"/>
  <c r="P110" i="7"/>
  <c r="O110" i="7"/>
  <c r="N110" i="7"/>
  <c r="T109" i="7"/>
  <c r="S109" i="7"/>
  <c r="R109" i="7"/>
  <c r="Q109" i="7"/>
  <c r="P109" i="7"/>
  <c r="O109" i="7"/>
  <c r="N109" i="7"/>
  <c r="T108" i="7"/>
  <c r="S108" i="7"/>
  <c r="R108" i="7"/>
  <c r="Q108" i="7"/>
  <c r="P108" i="7"/>
  <c r="O108" i="7"/>
  <c r="N108" i="7"/>
  <c r="T92" i="7"/>
  <c r="S92" i="7"/>
  <c r="R92" i="7"/>
  <c r="Q92" i="7"/>
  <c r="P92" i="7"/>
  <c r="O92" i="7"/>
  <c r="N92" i="7"/>
  <c r="T91" i="7"/>
  <c r="S91" i="7"/>
  <c r="R91" i="7"/>
  <c r="Q91" i="7"/>
  <c r="P91" i="7"/>
  <c r="O91" i="7"/>
  <c r="N91" i="7"/>
  <c r="T90" i="7"/>
  <c r="S90" i="7"/>
  <c r="R90" i="7"/>
  <c r="Q90" i="7"/>
  <c r="P90" i="7"/>
  <c r="O90" i="7"/>
  <c r="N90" i="7"/>
  <c r="T89" i="7"/>
  <c r="S89" i="7"/>
  <c r="R89" i="7"/>
  <c r="Q89" i="7"/>
  <c r="P89" i="7"/>
  <c r="O89" i="7"/>
  <c r="N89" i="7"/>
  <c r="T88" i="7"/>
  <c r="S88" i="7"/>
  <c r="R88" i="7"/>
  <c r="Q88" i="7"/>
  <c r="P88" i="7"/>
  <c r="O88" i="7"/>
  <c r="N88" i="7"/>
  <c r="T82" i="7"/>
  <c r="S82" i="7"/>
  <c r="R82" i="7"/>
  <c r="Q82" i="7"/>
  <c r="P82" i="7"/>
  <c r="O82" i="7"/>
  <c r="T81" i="7"/>
  <c r="S81" i="7"/>
  <c r="R81" i="7"/>
  <c r="Q81" i="7"/>
  <c r="P81" i="7"/>
  <c r="O81" i="7"/>
  <c r="T80" i="7"/>
  <c r="S80" i="7"/>
  <c r="R80" i="7"/>
  <c r="Q80" i="7"/>
  <c r="P80" i="7"/>
  <c r="O80" i="7"/>
  <c r="T79" i="7"/>
  <c r="S79" i="7"/>
  <c r="R79" i="7"/>
  <c r="Q79" i="7"/>
  <c r="P79" i="7"/>
  <c r="O79" i="7"/>
  <c r="T78" i="7"/>
  <c r="S78" i="7"/>
  <c r="R78" i="7"/>
  <c r="Q78" i="7"/>
  <c r="P78" i="7"/>
  <c r="O78" i="7"/>
  <c r="T72" i="7"/>
  <c r="S72" i="7"/>
  <c r="R72" i="7"/>
  <c r="Q72" i="7"/>
  <c r="P72" i="7"/>
  <c r="O72" i="7"/>
  <c r="N72" i="7"/>
  <c r="T71" i="7"/>
  <c r="S71" i="7"/>
  <c r="R71" i="7"/>
  <c r="Q71" i="7"/>
  <c r="P71" i="7"/>
  <c r="O71" i="7"/>
  <c r="N71" i="7"/>
  <c r="T70" i="7"/>
  <c r="S70" i="7"/>
  <c r="R70" i="7"/>
  <c r="Q70" i="7"/>
  <c r="P70" i="7"/>
  <c r="O70" i="7"/>
  <c r="N70" i="7"/>
  <c r="T69" i="7"/>
  <c r="S69" i="7"/>
  <c r="R69" i="7"/>
  <c r="Q69" i="7"/>
  <c r="P69" i="7"/>
  <c r="O69" i="7"/>
  <c r="N69" i="7"/>
  <c r="T68" i="7"/>
  <c r="S68" i="7"/>
  <c r="R68" i="7"/>
  <c r="Q68" i="7"/>
  <c r="P68" i="7"/>
  <c r="O68" i="7"/>
  <c r="N68" i="7"/>
  <c r="T62" i="7"/>
  <c r="S62" i="7"/>
  <c r="R62" i="7"/>
  <c r="Q62" i="7"/>
  <c r="P62" i="7"/>
  <c r="O62" i="7"/>
  <c r="N62" i="7"/>
  <c r="T61" i="7"/>
  <c r="S61" i="7"/>
  <c r="R61" i="7"/>
  <c r="Q61" i="7"/>
  <c r="P61" i="7"/>
  <c r="O61" i="7"/>
  <c r="N61" i="7"/>
  <c r="T60" i="7"/>
  <c r="S60" i="7"/>
  <c r="R60" i="7"/>
  <c r="Q60" i="7"/>
  <c r="P60" i="7"/>
  <c r="O60" i="7"/>
  <c r="N60" i="7"/>
  <c r="T59" i="7"/>
  <c r="S59" i="7"/>
  <c r="R59" i="7"/>
  <c r="Q59" i="7"/>
  <c r="P59" i="7"/>
  <c r="O59" i="7"/>
  <c r="N59" i="7"/>
  <c r="T58" i="7"/>
  <c r="S58" i="7"/>
  <c r="R58" i="7"/>
  <c r="Q58" i="7"/>
  <c r="P58" i="7"/>
  <c r="O58" i="7"/>
  <c r="N58" i="7"/>
  <c r="T52" i="7"/>
  <c r="S52" i="7"/>
  <c r="R52" i="7"/>
  <c r="Q52" i="7"/>
  <c r="P52" i="7"/>
  <c r="O52" i="7"/>
  <c r="T51" i="7"/>
  <c r="S51" i="7"/>
  <c r="R51" i="7"/>
  <c r="Q51" i="7"/>
  <c r="P51" i="7"/>
  <c r="O51" i="7"/>
  <c r="T50" i="7"/>
  <c r="S50" i="7"/>
  <c r="R50" i="7"/>
  <c r="Q50" i="7"/>
  <c r="P50" i="7"/>
  <c r="O50" i="7"/>
  <c r="T49" i="7"/>
  <c r="S49" i="7"/>
  <c r="R49" i="7"/>
  <c r="Q49" i="7"/>
  <c r="P49" i="7"/>
  <c r="O49" i="7"/>
  <c r="T48" i="7"/>
  <c r="S48" i="7"/>
  <c r="R48" i="7"/>
  <c r="Q48" i="7"/>
  <c r="P48" i="7"/>
  <c r="O48" i="7"/>
  <c r="T42" i="7"/>
  <c r="S42" i="7"/>
  <c r="R42" i="7"/>
  <c r="Q42" i="7"/>
  <c r="P42" i="7"/>
  <c r="O42" i="7"/>
  <c r="T41" i="7"/>
  <c r="S41" i="7"/>
  <c r="R41" i="7"/>
  <c r="Q41" i="7"/>
  <c r="P41" i="7"/>
  <c r="O41" i="7"/>
  <c r="T40" i="7"/>
  <c r="S40" i="7"/>
  <c r="R40" i="7"/>
  <c r="Q40" i="7"/>
  <c r="P40" i="7"/>
  <c r="O40" i="7"/>
  <c r="T39" i="7"/>
  <c r="S39" i="7"/>
  <c r="R39" i="7"/>
  <c r="Q39" i="7"/>
  <c r="P39" i="7"/>
  <c r="O39" i="7"/>
  <c r="T38" i="7"/>
  <c r="S38" i="7"/>
  <c r="R38" i="7"/>
  <c r="Q38" i="7"/>
  <c r="P38" i="7"/>
  <c r="O38" i="7"/>
  <c r="N33" i="7"/>
  <c r="N32" i="7"/>
  <c r="N31" i="7"/>
  <c r="N30" i="7"/>
  <c r="N29" i="7"/>
  <c r="N28" i="7"/>
  <c r="N27" i="7"/>
  <c r="N26" i="7"/>
  <c r="N25" i="7"/>
  <c r="N24" i="7"/>
  <c r="N23" i="7"/>
  <c r="N22" i="7"/>
  <c r="N21" i="7"/>
  <c r="N20" i="7"/>
  <c r="N19" i="7"/>
  <c r="N18" i="7"/>
  <c r="N17" i="7"/>
  <c r="T15" i="7"/>
  <c r="S15" i="7"/>
  <c r="R15" i="7"/>
  <c r="Q15" i="7"/>
  <c r="P15" i="7"/>
  <c r="O15" i="7"/>
  <c r="N15" i="7"/>
  <c r="T14" i="7"/>
  <c r="S14" i="7"/>
  <c r="R14" i="7"/>
  <c r="Q14" i="7"/>
  <c r="P14" i="7"/>
  <c r="O14" i="7"/>
  <c r="N14" i="7"/>
  <c r="T13" i="7"/>
  <c r="S13" i="7"/>
  <c r="R13" i="7"/>
  <c r="Q13" i="7"/>
  <c r="P13" i="7"/>
  <c r="O13" i="7"/>
  <c r="N13" i="7"/>
  <c r="T12" i="7"/>
  <c r="S12" i="7"/>
  <c r="R12" i="7"/>
  <c r="Q12" i="7"/>
  <c r="P12" i="7"/>
  <c r="O12" i="7"/>
  <c r="N12" i="7"/>
  <c r="T11" i="7"/>
  <c r="S11" i="7"/>
  <c r="R11" i="7"/>
  <c r="Q11" i="7"/>
  <c r="P11" i="7"/>
  <c r="O11" i="7"/>
  <c r="N11" i="7"/>
  <c r="S163" i="3"/>
  <c r="N140" i="3"/>
  <c r="S123" i="3"/>
  <c r="S153" i="3"/>
  <c r="T213" i="3"/>
  <c r="S213" i="3"/>
  <c r="R213" i="3"/>
  <c r="Q213" i="3"/>
  <c r="P213" i="3"/>
  <c r="O213" i="3"/>
  <c r="N213" i="3"/>
  <c r="T212" i="3"/>
  <c r="S212" i="3"/>
  <c r="R212" i="3"/>
  <c r="Q212" i="3"/>
  <c r="P212" i="3"/>
  <c r="O212" i="3"/>
  <c r="N212" i="3"/>
  <c r="T211" i="3"/>
  <c r="S211" i="3"/>
  <c r="R211" i="3"/>
  <c r="Q211" i="3"/>
  <c r="P211" i="3"/>
  <c r="O211" i="3"/>
  <c r="N211" i="3"/>
  <c r="T210" i="3"/>
  <c r="S210" i="3"/>
  <c r="R210" i="3"/>
  <c r="Q210" i="3"/>
  <c r="P210" i="3"/>
  <c r="O210" i="3"/>
  <c r="N210" i="3"/>
  <c r="T209" i="3"/>
  <c r="S209" i="3"/>
  <c r="R209" i="3"/>
  <c r="Q209" i="3"/>
  <c r="P209" i="3"/>
  <c r="O209" i="3"/>
  <c r="N209" i="3"/>
  <c r="N189" i="3"/>
  <c r="O189" i="3"/>
  <c r="P189" i="3"/>
  <c r="Q189" i="3"/>
  <c r="N190" i="3"/>
  <c r="O190" i="3"/>
  <c r="P190" i="3"/>
  <c r="Q190" i="3"/>
  <c r="N191" i="3"/>
  <c r="O191" i="3"/>
  <c r="P191" i="3"/>
  <c r="Q191" i="3"/>
  <c r="N192" i="3"/>
  <c r="O192" i="3"/>
  <c r="P192" i="3"/>
  <c r="Q192" i="3"/>
  <c r="S183" i="3"/>
  <c r="O183" i="3"/>
  <c r="T183" i="3"/>
  <c r="P183" i="3"/>
  <c r="Q183" i="3"/>
  <c r="R183" i="3"/>
  <c r="N183" i="3"/>
  <c r="O179" i="3"/>
  <c r="P179" i="3"/>
  <c r="Q179" i="3"/>
  <c r="R179" i="3"/>
  <c r="S179" i="3"/>
  <c r="T179" i="3"/>
  <c r="N179" i="3"/>
  <c r="O159" i="3"/>
  <c r="P159" i="3"/>
  <c r="Q159" i="3"/>
  <c r="R159" i="3"/>
  <c r="S159" i="3"/>
  <c r="T159" i="3"/>
  <c r="O163" i="3"/>
  <c r="P163" i="3"/>
  <c r="Q163" i="3"/>
  <c r="R163" i="3"/>
  <c r="T163" i="3"/>
  <c r="N163" i="3"/>
  <c r="N159" i="3"/>
  <c r="Q153" i="3"/>
  <c r="R153" i="3"/>
  <c r="T153" i="3"/>
  <c r="P153" i="3"/>
  <c r="O153" i="3"/>
  <c r="N153" i="3"/>
  <c r="O149" i="3"/>
  <c r="P149" i="3"/>
  <c r="Q149" i="3"/>
  <c r="R149" i="3"/>
  <c r="S149" i="3"/>
  <c r="T149" i="3"/>
  <c r="N149" i="3"/>
  <c r="T203" i="3"/>
  <c r="S203" i="3"/>
  <c r="R203" i="3"/>
  <c r="Q203" i="3"/>
  <c r="P203" i="3"/>
  <c r="O203" i="3"/>
  <c r="N203" i="3"/>
  <c r="T202" i="3"/>
  <c r="S202" i="3"/>
  <c r="R202" i="3"/>
  <c r="Q202" i="3"/>
  <c r="P202" i="3"/>
  <c r="O202" i="3"/>
  <c r="N202" i="3"/>
  <c r="T201" i="3"/>
  <c r="S201" i="3"/>
  <c r="R201" i="3"/>
  <c r="Q201" i="3"/>
  <c r="P201" i="3"/>
  <c r="O201" i="3"/>
  <c r="N201" i="3"/>
  <c r="T200" i="3"/>
  <c r="S200" i="3"/>
  <c r="R200" i="3"/>
  <c r="Q200" i="3"/>
  <c r="P200" i="3"/>
  <c r="O200" i="3"/>
  <c r="N200" i="3"/>
  <c r="T199" i="3"/>
  <c r="S199" i="3"/>
  <c r="R199" i="3"/>
  <c r="Q199" i="3"/>
  <c r="P199" i="3"/>
  <c r="O199" i="3"/>
  <c r="N199" i="3"/>
  <c r="T193" i="3"/>
  <c r="S193" i="3"/>
  <c r="R193" i="3"/>
  <c r="Q193" i="3"/>
  <c r="P193" i="3"/>
  <c r="O193" i="3"/>
  <c r="N193" i="3"/>
  <c r="T192" i="3"/>
  <c r="S192" i="3"/>
  <c r="R192" i="3"/>
  <c r="T191" i="3"/>
  <c r="S191" i="3"/>
  <c r="R191" i="3"/>
  <c r="T190" i="3"/>
  <c r="S190" i="3"/>
  <c r="R190" i="3"/>
  <c r="T189" i="3"/>
  <c r="S189" i="3"/>
  <c r="R189" i="3"/>
  <c r="T182" i="3"/>
  <c r="S182" i="3"/>
  <c r="R182" i="3"/>
  <c r="Q182" i="3"/>
  <c r="P182" i="3"/>
  <c r="O182" i="3"/>
  <c r="N182" i="3"/>
  <c r="T181" i="3"/>
  <c r="S181" i="3"/>
  <c r="R181" i="3"/>
  <c r="Q181" i="3"/>
  <c r="P181" i="3"/>
  <c r="O181" i="3"/>
  <c r="N181" i="3"/>
  <c r="T180" i="3"/>
  <c r="S180" i="3"/>
  <c r="R180" i="3"/>
  <c r="Q180" i="3"/>
  <c r="P180" i="3"/>
  <c r="O180" i="3"/>
  <c r="N180" i="3"/>
  <c r="T173" i="3"/>
  <c r="S173" i="3"/>
  <c r="R173" i="3"/>
  <c r="Q173" i="3"/>
  <c r="P173" i="3"/>
  <c r="O173" i="3"/>
  <c r="N173" i="3"/>
  <c r="T172" i="3"/>
  <c r="S172" i="3"/>
  <c r="R172" i="3"/>
  <c r="Q172" i="3"/>
  <c r="P172" i="3"/>
  <c r="O172" i="3"/>
  <c r="N172" i="3"/>
  <c r="T171" i="3"/>
  <c r="S171" i="3"/>
  <c r="R171" i="3"/>
  <c r="Q171" i="3"/>
  <c r="P171" i="3"/>
  <c r="O171" i="3"/>
  <c r="N171" i="3"/>
  <c r="T170" i="3"/>
  <c r="S170" i="3"/>
  <c r="R170" i="3"/>
  <c r="Q170" i="3"/>
  <c r="P170" i="3"/>
  <c r="O170" i="3"/>
  <c r="N170" i="3"/>
  <c r="T162" i="3"/>
  <c r="S162" i="3"/>
  <c r="R162" i="3"/>
  <c r="Q162" i="3"/>
  <c r="P162" i="3"/>
  <c r="O162" i="3"/>
  <c r="N162" i="3"/>
  <c r="T161" i="3"/>
  <c r="S161" i="3"/>
  <c r="R161" i="3"/>
  <c r="Q161" i="3"/>
  <c r="P161" i="3"/>
  <c r="O161" i="3"/>
  <c r="N161" i="3"/>
  <c r="T160" i="3"/>
  <c r="S160" i="3"/>
  <c r="R160" i="3"/>
  <c r="Q160" i="3"/>
  <c r="P160" i="3"/>
  <c r="O160" i="3"/>
  <c r="N160" i="3"/>
  <c r="T152" i="3"/>
  <c r="S152" i="3"/>
  <c r="R152" i="3"/>
  <c r="Q152" i="3"/>
  <c r="P152" i="3"/>
  <c r="O152" i="3"/>
  <c r="N152" i="3"/>
  <c r="T151" i="3"/>
  <c r="S151" i="3"/>
  <c r="R151" i="3"/>
  <c r="Q151" i="3"/>
  <c r="P151" i="3"/>
  <c r="O151" i="3"/>
  <c r="N151" i="3"/>
  <c r="T150" i="3"/>
  <c r="S150" i="3"/>
  <c r="R150" i="3"/>
  <c r="Q150" i="3"/>
  <c r="P150" i="3"/>
  <c r="O150" i="3"/>
  <c r="N150" i="3"/>
  <c r="Q123" i="3"/>
  <c r="R123" i="3"/>
  <c r="T123" i="3"/>
  <c r="P123" i="3"/>
  <c r="O119" i="3"/>
  <c r="P119" i="3"/>
  <c r="Q119" i="3"/>
  <c r="R119" i="3"/>
  <c r="S119" i="3"/>
  <c r="T119" i="3"/>
  <c r="N123" i="3"/>
  <c r="N119" i="3"/>
  <c r="T143" i="3"/>
  <c r="S143" i="3"/>
  <c r="R143" i="3"/>
  <c r="Q143" i="3"/>
  <c r="P143" i="3"/>
  <c r="O143" i="3"/>
  <c r="N143" i="3"/>
  <c r="T142" i="3"/>
  <c r="S142" i="3"/>
  <c r="R142" i="3"/>
  <c r="Q142" i="3"/>
  <c r="P142" i="3"/>
  <c r="O142" i="3"/>
  <c r="N142" i="3"/>
  <c r="T141" i="3"/>
  <c r="S141" i="3"/>
  <c r="R141" i="3"/>
  <c r="Q141" i="3"/>
  <c r="P141" i="3"/>
  <c r="O141" i="3"/>
  <c r="N141" i="3"/>
  <c r="T140" i="3"/>
  <c r="S140" i="3"/>
  <c r="R140" i="3"/>
  <c r="Q140" i="3"/>
  <c r="P140" i="3"/>
  <c r="O140" i="3"/>
  <c r="T139" i="3"/>
  <c r="S139" i="3"/>
  <c r="R139" i="3"/>
  <c r="Q139" i="3"/>
  <c r="P139" i="3"/>
  <c r="O139" i="3"/>
  <c r="N139" i="3"/>
  <c r="T133" i="3"/>
  <c r="S133" i="3"/>
  <c r="R133" i="3"/>
  <c r="Q133" i="3"/>
  <c r="P133" i="3"/>
  <c r="O133" i="3"/>
  <c r="N133" i="3"/>
  <c r="T132" i="3"/>
  <c r="S132" i="3"/>
  <c r="R132" i="3"/>
  <c r="Q132" i="3"/>
  <c r="P132" i="3"/>
  <c r="O132" i="3"/>
  <c r="N132" i="3"/>
  <c r="T131" i="3"/>
  <c r="S131" i="3"/>
  <c r="R131" i="3"/>
  <c r="Q131" i="3"/>
  <c r="P131" i="3"/>
  <c r="O131" i="3"/>
  <c r="N131" i="3"/>
  <c r="T130" i="3"/>
  <c r="S130" i="3"/>
  <c r="R130" i="3"/>
  <c r="Q130" i="3"/>
  <c r="P130" i="3"/>
  <c r="O130" i="3"/>
  <c r="N130" i="3"/>
  <c r="T129" i="3"/>
  <c r="S129" i="3"/>
  <c r="R129" i="3"/>
  <c r="Q129" i="3"/>
  <c r="P129" i="3"/>
  <c r="O129" i="3"/>
  <c r="N129" i="3"/>
  <c r="O123" i="3"/>
  <c r="T122" i="3"/>
  <c r="S122" i="3"/>
  <c r="R122" i="3"/>
  <c r="Q122" i="3"/>
  <c r="P122" i="3"/>
  <c r="O122" i="3"/>
  <c r="N122" i="3"/>
  <c r="T121" i="3"/>
  <c r="S121" i="3"/>
  <c r="R121" i="3"/>
  <c r="Q121" i="3"/>
  <c r="P121" i="3"/>
  <c r="O121" i="3"/>
  <c r="N121" i="3"/>
  <c r="T120" i="3"/>
  <c r="S120" i="3"/>
  <c r="R120" i="3"/>
  <c r="Q120" i="3"/>
  <c r="P120" i="3"/>
  <c r="O120" i="3"/>
  <c r="N120" i="3"/>
  <c r="Q93" i="3"/>
  <c r="R93" i="3"/>
  <c r="S93" i="3"/>
  <c r="T93" i="3"/>
  <c r="P93" i="3"/>
  <c r="O89" i="3"/>
  <c r="P89" i="3"/>
  <c r="Q89" i="3"/>
  <c r="R89" i="3"/>
  <c r="S89" i="3"/>
  <c r="T89" i="3"/>
  <c r="N93" i="3"/>
  <c r="N89" i="3"/>
  <c r="N90" i="3"/>
  <c r="N91" i="3"/>
  <c r="N92" i="3"/>
  <c r="T113" i="3"/>
  <c r="S113" i="3"/>
  <c r="R113" i="3"/>
  <c r="Q113" i="3"/>
  <c r="P113" i="3"/>
  <c r="O113" i="3"/>
  <c r="N113" i="3"/>
  <c r="T112" i="3"/>
  <c r="S112" i="3"/>
  <c r="R112" i="3"/>
  <c r="Q112" i="3"/>
  <c r="P112" i="3"/>
  <c r="O112" i="3"/>
  <c r="N112" i="3"/>
  <c r="T111" i="3"/>
  <c r="S111" i="3"/>
  <c r="R111" i="3"/>
  <c r="Q111" i="3"/>
  <c r="P111" i="3"/>
  <c r="O111" i="3"/>
  <c r="N111" i="3"/>
  <c r="T110" i="3"/>
  <c r="S110" i="3"/>
  <c r="R110" i="3"/>
  <c r="Q110" i="3"/>
  <c r="P110" i="3"/>
  <c r="O110" i="3"/>
  <c r="N110" i="3"/>
  <c r="T109" i="3"/>
  <c r="S109" i="3"/>
  <c r="R109" i="3"/>
  <c r="Q109" i="3"/>
  <c r="P109" i="3"/>
  <c r="O109" i="3"/>
  <c r="N109" i="3"/>
  <c r="T103" i="3"/>
  <c r="S103" i="3"/>
  <c r="R103" i="3"/>
  <c r="Q103" i="3"/>
  <c r="P103" i="3"/>
  <c r="O103" i="3"/>
  <c r="N103" i="3"/>
  <c r="T102" i="3"/>
  <c r="S102" i="3"/>
  <c r="R102" i="3"/>
  <c r="Q102" i="3"/>
  <c r="P102" i="3"/>
  <c r="O102" i="3"/>
  <c r="N102" i="3"/>
  <c r="T101" i="3"/>
  <c r="S101" i="3"/>
  <c r="R101" i="3"/>
  <c r="Q101" i="3"/>
  <c r="P101" i="3"/>
  <c r="O101" i="3"/>
  <c r="N101" i="3"/>
  <c r="T100" i="3"/>
  <c r="S100" i="3"/>
  <c r="R100" i="3"/>
  <c r="Q100" i="3"/>
  <c r="P100" i="3"/>
  <c r="O100" i="3"/>
  <c r="N100" i="3"/>
  <c r="T99" i="3"/>
  <c r="S99" i="3"/>
  <c r="R99" i="3"/>
  <c r="Q99" i="3"/>
  <c r="P99" i="3"/>
  <c r="O99" i="3"/>
  <c r="N99" i="3"/>
  <c r="O93" i="3"/>
  <c r="T92" i="3"/>
  <c r="S92" i="3"/>
  <c r="R92" i="3"/>
  <c r="Q92" i="3"/>
  <c r="P92" i="3"/>
  <c r="O92" i="3"/>
  <c r="T91" i="3"/>
  <c r="S91" i="3"/>
  <c r="R91" i="3"/>
  <c r="Q91" i="3"/>
  <c r="P91" i="3"/>
  <c r="O91" i="3"/>
  <c r="T90" i="3"/>
  <c r="S90" i="3"/>
  <c r="R90" i="3"/>
  <c r="Q90" i="3"/>
  <c r="P90" i="3"/>
  <c r="O90" i="3"/>
  <c r="N79" i="3"/>
  <c r="N80" i="3"/>
  <c r="N81" i="3"/>
  <c r="N82" i="3"/>
  <c r="N83" i="3"/>
  <c r="T83" i="3"/>
  <c r="S83" i="3"/>
  <c r="R83" i="3"/>
  <c r="Q83" i="3"/>
  <c r="P83" i="3"/>
  <c r="O83" i="3"/>
  <c r="T82" i="3"/>
  <c r="S82" i="3"/>
  <c r="R82" i="3"/>
  <c r="Q82" i="3"/>
  <c r="P82" i="3"/>
  <c r="O82" i="3"/>
  <c r="T81" i="3"/>
  <c r="S81" i="3"/>
  <c r="R81" i="3"/>
  <c r="Q81" i="3"/>
  <c r="P81" i="3"/>
  <c r="O81" i="3"/>
  <c r="T80" i="3"/>
  <c r="S80" i="3"/>
  <c r="R80" i="3"/>
  <c r="Q80" i="3"/>
  <c r="P80" i="3"/>
  <c r="O80" i="3"/>
  <c r="T79" i="3"/>
  <c r="S79" i="3"/>
  <c r="R79" i="3"/>
  <c r="Q79" i="3"/>
  <c r="P79" i="3"/>
  <c r="O79" i="3"/>
  <c r="T73" i="3"/>
  <c r="S73" i="3"/>
  <c r="R73" i="3"/>
  <c r="Q73" i="3"/>
  <c r="P73" i="3"/>
  <c r="O73" i="3"/>
  <c r="N73" i="3"/>
  <c r="T72" i="3"/>
  <c r="S72" i="3"/>
  <c r="R72" i="3"/>
  <c r="Q72" i="3"/>
  <c r="P72" i="3"/>
  <c r="O72" i="3"/>
  <c r="N72" i="3"/>
  <c r="T71" i="3"/>
  <c r="S71" i="3"/>
  <c r="R71" i="3"/>
  <c r="Q71" i="3"/>
  <c r="P71" i="3"/>
  <c r="O71" i="3"/>
  <c r="N71" i="3"/>
  <c r="T70" i="3"/>
  <c r="S70" i="3"/>
  <c r="R70" i="3"/>
  <c r="Q70" i="3"/>
  <c r="P70" i="3"/>
  <c r="O70" i="3"/>
  <c r="N70" i="3"/>
  <c r="T69" i="3"/>
  <c r="S69" i="3"/>
  <c r="R69" i="3"/>
  <c r="Q69" i="3"/>
  <c r="P69" i="3"/>
  <c r="O69" i="3"/>
  <c r="N69" i="3"/>
  <c r="T63" i="3"/>
  <c r="S63" i="3"/>
  <c r="R63" i="3"/>
  <c r="Q63" i="3"/>
  <c r="P63" i="3"/>
  <c r="O63" i="3"/>
  <c r="N63" i="3"/>
  <c r="T62" i="3"/>
  <c r="S62" i="3"/>
  <c r="R62" i="3"/>
  <c r="Q62" i="3"/>
  <c r="P62" i="3"/>
  <c r="O62" i="3"/>
  <c r="N62" i="3"/>
  <c r="T61" i="3"/>
  <c r="S61" i="3"/>
  <c r="R61" i="3"/>
  <c r="Q61" i="3"/>
  <c r="P61" i="3"/>
  <c r="O61" i="3"/>
  <c r="N61" i="3"/>
  <c r="T60" i="3"/>
  <c r="S60" i="3"/>
  <c r="R60" i="3"/>
  <c r="Q60" i="3"/>
  <c r="P60" i="3"/>
  <c r="O60" i="3"/>
  <c r="N60" i="3"/>
  <c r="T59" i="3"/>
  <c r="S59" i="3"/>
  <c r="R59" i="3"/>
  <c r="Q59" i="3"/>
  <c r="P59" i="3"/>
  <c r="O59" i="3"/>
  <c r="N59" i="3"/>
  <c r="N50" i="3"/>
  <c r="O50" i="3"/>
  <c r="P50" i="3"/>
  <c r="Q50" i="3"/>
  <c r="R50" i="3"/>
  <c r="S50" i="3"/>
  <c r="T50" i="3"/>
  <c r="N51" i="3"/>
  <c r="O51" i="3"/>
  <c r="P51" i="3"/>
  <c r="Q51" i="3"/>
  <c r="R51" i="3"/>
  <c r="S51" i="3"/>
  <c r="T51" i="3"/>
  <c r="N52" i="3"/>
  <c r="O52" i="3"/>
  <c r="P52" i="3"/>
  <c r="Q52" i="3"/>
  <c r="R52" i="3"/>
  <c r="S52" i="3"/>
  <c r="T52" i="3"/>
  <c r="N53" i="3"/>
  <c r="O53" i="3"/>
  <c r="P53" i="3"/>
  <c r="Q53" i="3"/>
  <c r="R53" i="3"/>
  <c r="S53" i="3"/>
  <c r="T53" i="3"/>
  <c r="T49" i="3"/>
  <c r="S49" i="3"/>
  <c r="R49" i="3"/>
  <c r="Q49" i="3"/>
  <c r="P49" i="3"/>
  <c r="O49" i="3"/>
  <c r="N49" i="3"/>
  <c r="O43" i="3"/>
  <c r="P43" i="3"/>
  <c r="Q43" i="3"/>
  <c r="R43" i="3"/>
  <c r="S43" i="3"/>
  <c r="T43" i="3"/>
  <c r="N40" i="3"/>
  <c r="O40" i="3"/>
  <c r="P40" i="3"/>
  <c r="Q40" i="3"/>
  <c r="R40" i="3"/>
  <c r="S40" i="3"/>
  <c r="T40" i="3"/>
  <c r="N41" i="3"/>
  <c r="O41" i="3"/>
  <c r="P41" i="3"/>
  <c r="Q41" i="3"/>
  <c r="R41" i="3"/>
  <c r="S41" i="3"/>
  <c r="T41" i="3"/>
  <c r="N42" i="3"/>
  <c r="O42" i="3"/>
  <c r="P42" i="3"/>
  <c r="Q42" i="3"/>
  <c r="R42" i="3"/>
  <c r="S42" i="3"/>
  <c r="T42" i="3"/>
  <c r="N43" i="3"/>
  <c r="T39" i="3"/>
  <c r="S39" i="3"/>
  <c r="R39" i="3"/>
  <c r="Q39" i="3"/>
  <c r="P39" i="3"/>
  <c r="O39" i="3"/>
  <c r="N39" i="3"/>
  <c r="O13" i="3"/>
  <c r="P13" i="3"/>
  <c r="Q13" i="3"/>
  <c r="R13" i="3"/>
  <c r="S13" i="3"/>
  <c r="T13" i="3"/>
  <c r="O14" i="3"/>
  <c r="P14" i="3"/>
  <c r="Q14" i="3"/>
  <c r="R14" i="3"/>
  <c r="S14" i="3"/>
  <c r="T14" i="3"/>
  <c r="O15" i="3"/>
  <c r="P15" i="3"/>
  <c r="Q15" i="3"/>
  <c r="R15" i="3"/>
  <c r="S15" i="3"/>
  <c r="T15" i="3"/>
  <c r="O16" i="3"/>
  <c r="P16" i="3"/>
  <c r="Q16" i="3"/>
  <c r="R16" i="3"/>
  <c r="S16" i="3"/>
  <c r="T16" i="3"/>
  <c r="P12" i="3"/>
  <c r="Q12" i="3"/>
  <c r="R12" i="3"/>
  <c r="S12" i="3"/>
  <c r="T12" i="3"/>
  <c r="O12" i="3"/>
  <c r="N13" i="3"/>
  <c r="N14" i="3"/>
  <c r="N15" i="3"/>
  <c r="N16" i="3"/>
  <c r="N12" i="3"/>
  <c r="N34" i="3"/>
  <c r="N33" i="3"/>
  <c r="N32" i="3"/>
  <c r="N31" i="3"/>
  <c r="N30" i="3"/>
  <c r="N29" i="3"/>
  <c r="N28" i="3"/>
  <c r="N27" i="3"/>
  <c r="N26" i="3"/>
  <c r="N25" i="3"/>
  <c r="N24" i="3"/>
  <c r="N23" i="3"/>
  <c r="N22" i="3"/>
  <c r="N21" i="3"/>
  <c r="N20" i="3"/>
  <c r="N19" i="3"/>
  <c r="N18" i="3"/>
</calcChain>
</file>

<file path=xl/sharedStrings.xml><?xml version="1.0" encoding="utf-8"?>
<sst xmlns="http://schemas.openxmlformats.org/spreadsheetml/2006/main" count="4687" uniqueCount="322">
  <si>
    <t>Target Service</t>
  </si>
  <si>
    <t>Document Analysis Services</t>
  </si>
  <si>
    <t xml:space="preserve">Data Collected By </t>
  </si>
  <si>
    <t>Shray Saxena</t>
  </si>
  <si>
    <t xml:space="preserve">This report carries the behavior of the API's related to Document Analysis service. The api's are found from the page https://github.azc.ext.hp.com/NCE/win-svc-ai-managerctl/v1/modelinfos/VhoIloCyRUW0q4umYms0iDRDG8LhPnsd8YfO0QKyLHk:deviceUniqueId </t>
  </si>
  <si>
    <t xml:space="preserve">System Information - 64 GB </t>
  </si>
  <si>
    <t>AMD RYZEN AI MAX PRO  64 GB,  w/ Radeon 8050S (3.2 GHz)</t>
  </si>
  <si>
    <t>App Version</t>
  </si>
  <si>
    <t>1.0.471.0</t>
  </si>
  <si>
    <t xml:space="preserve">Jmeter Configuration </t>
  </si>
  <si>
    <t>No. of users 01, Rampup Pd 1 sec</t>
  </si>
  <si>
    <t>Test Case 01</t>
  </si>
  <si>
    <t xml:space="preserve">Adding .txt file of size around 3 Kb </t>
  </si>
  <si>
    <t xml:space="preserve">Execution Date and Time </t>
  </si>
  <si>
    <t>2026-04-14 12:31:47 TO 2026-04-14 12:31:48</t>
  </si>
  <si>
    <t>timeStamp</t>
  </si>
  <si>
    <t>elapsed</t>
  </si>
  <si>
    <t>label</t>
  </si>
  <si>
    <t>responseCode</t>
  </si>
  <si>
    <t>responseMessage</t>
  </si>
  <si>
    <t>threadName</t>
  </si>
  <si>
    <t>dataType</t>
  </si>
  <si>
    <t>success</t>
  </si>
  <si>
    <t>failureMessage</t>
  </si>
  <si>
    <t>bytes</t>
  </si>
  <si>
    <t>sentBytes</t>
  </si>
  <si>
    <t>grpThreads</t>
  </si>
  <si>
    <t>allThreads</t>
  </si>
  <si>
    <t>URL</t>
  </si>
  <si>
    <t>Latency</t>
  </si>
  <si>
    <t>IdleTime</t>
  </si>
  <si>
    <t>Connect</t>
  </si>
  <si>
    <t xml:space="preserve">Comment </t>
  </si>
  <si>
    <t>AddDocumentAsync</t>
  </si>
  <si>
    <t>OK</t>
  </si>
  <si>
    <t>DocumentAnalysisService 1-1</t>
  </si>
  <si>
    <t>text</t>
  </si>
  <si>
    <t>http://localhost:8081/aimanager/DocumentAnalysisService</t>
  </si>
  <si>
    <t>GetDocuments</t>
  </si>
  <si>
    <t>GetDocumentChunkIds</t>
  </si>
  <si>
    <t>GetChunkText</t>
  </si>
  <si>
    <t>Test Case 02</t>
  </si>
  <si>
    <t xml:space="preserve">Adding .pdf file of size around 83 Kb </t>
  </si>
  <si>
    <t>Test Case 03</t>
  </si>
  <si>
    <t xml:space="preserve">Adding .docx file of size around 17 Kb </t>
  </si>
  <si>
    <t>2026-04-14 14:10:49 TO 2026-04-14 14:10:52</t>
  </si>
  <si>
    <t>Test Case 04</t>
  </si>
  <si>
    <t xml:space="preserve">Adding .pptx file of size around 38 Kb </t>
  </si>
  <si>
    <t>2026-04-14 14:31:14 TO 2026-04-14 14:31:17</t>
  </si>
  <si>
    <t>Test Case 05</t>
  </si>
  <si>
    <t>Adding .pdf file of size around 7MB</t>
  </si>
  <si>
    <t>2026-04-14 15:30:38 TO 2026-04-14 15:30:48</t>
  </si>
  <si>
    <t>Test Case 06</t>
  </si>
  <si>
    <t>Adding .pdf file of size around 11 MB</t>
  </si>
  <si>
    <t>2026-04-14 15:46:58 TO 2026-04-14 15:47:31</t>
  </si>
  <si>
    <t>Test Case 07</t>
  </si>
  <si>
    <t>Adding .docx file of size around14 MB</t>
  </si>
  <si>
    <t>2026-04-14 16:03:48 TO 2026-04-14 16:13:48</t>
  </si>
  <si>
    <t>Test Case 08</t>
  </si>
  <si>
    <t>Adding .pdf file of size around 21 MB</t>
  </si>
  <si>
    <t>2026-04-14 16:31:54 TO 2026-04-14 16:32:39</t>
  </si>
  <si>
    <t>Test Case 09</t>
  </si>
  <si>
    <t>Adding .pdf file of size around 43 MB</t>
  </si>
  <si>
    <t>2026-04-14 16:46:43 TO 2026-04-14 16:46:57</t>
  </si>
  <si>
    <t>Test Case 10</t>
  </si>
  <si>
    <t>Adding .docx file of size around 9 MB containing multilingual data</t>
  </si>
  <si>
    <t>2026-04-14 17:35:34 TO 2026-04-14 18:16:50</t>
  </si>
  <si>
    <t>Internal Error</t>
  </si>
  <si>
    <t>Test Case 11</t>
  </si>
  <si>
    <t>Adding .jpeg file of size around 5 MB</t>
  </si>
  <si>
    <t>2026-04-14 18:28:48 TO 4/14/2026  6:28:52 PM</t>
  </si>
  <si>
    <t xml:space="preserve">Got response - {
    "response": "DocumentAnalysisServiceError: `C:\/Users\/SFT-AIC\/Desktop\/ODF_TestFiles\/TestFile_JPEG_Approx_5MB.jpeg` is not a supported file type."
} </t>
  </si>
  <si>
    <t>Non HTTP response code: java.net.SocketException</t>
  </si>
  <si>
    <t>Non HTTP response message: Connection reset</t>
  </si>
  <si>
    <t>Non HTTP response code: org.apache.http.conn.HttpHostConnectException</t>
  </si>
  <si>
    <t>Non HTTP response message: Connect to localhost:8081 [localhost/127.0.0.1, localhost/0:0:0:0:0:0:0:1] failed: Connection refused: connect</t>
  </si>
  <si>
    <t>Test Case 12</t>
  </si>
  <si>
    <t>Adding .png file of size around 2 MB</t>
  </si>
  <si>
    <t>2026-04-14 18:36:47 TO 2026-04-14 18:36:52</t>
  </si>
  <si>
    <t>Test Case 13</t>
  </si>
  <si>
    <t>Adding .docx file of size around 2 MB</t>
  </si>
  <si>
    <t>2026-04-14 19:02:57 To 2026-04-14 19:49:35</t>
  </si>
  <si>
    <t>Test Case 14</t>
  </si>
  <si>
    <t>Adding .pdf file of size around 9 MB containing multilungal data</t>
  </si>
  <si>
    <t>2026-04-14 19:55:06 TO 2026-04-14 20:27:46</t>
  </si>
  <si>
    <t>Test Case 15</t>
  </si>
  <si>
    <t>Adding .pdf file of size around 1 MB containing multilungal data</t>
  </si>
  <si>
    <t>2026-04-14 20:39:41 TO 2026-04-14 20:42:55</t>
  </si>
  <si>
    <t>Test Case 16</t>
  </si>
  <si>
    <t>Adding .pdf file of size around 2 MB with combination of image and text both</t>
  </si>
  <si>
    <t xml:space="preserve">4/14/2026  8:51:12 PM TO 4/14/2026  8:56:12 PM </t>
  </si>
  <si>
    <t>Test Case 17</t>
  </si>
  <si>
    <t>2026-04-14 21:17:00 TO 2026-04-14 21:17:03</t>
  </si>
  <si>
    <t>Test Case 18</t>
  </si>
  <si>
    <t>Adding .docx file of size 3 MB with combination of image and text both</t>
  </si>
  <si>
    <t>2026-04-14 21:53:16 TO 2026-04-14 21:54:42</t>
  </si>
  <si>
    <t>Test Case 19</t>
  </si>
  <si>
    <t>Adding .pdf file of 3MB and executing the script 2 times simultaneously and observe the behavior</t>
  </si>
  <si>
    <t>2026-04-16 15:24:04 TO 2026-04-16 16:15:09</t>
  </si>
  <si>
    <t>DocumentAnalysisService 1-2</t>
  </si>
  <si>
    <t>Document Analysis Service</t>
  </si>
  <si>
    <t>Target Response time from the NFR shared</t>
  </si>
  <si>
    <t>upto 5 MB</t>
  </si>
  <si>
    <t>&lt; 1.5 secs</t>
  </si>
  <si>
    <t>This report carries the performance of the API's related to Document Analysis service. The api's are found from the page https://github.azc.ext.hp.com/NCE/win-svc-ai-manager</t>
  </si>
  <si>
    <t>5 to 10 MB</t>
  </si>
  <si>
    <t>&lt; 3 secs</t>
  </si>
  <si>
    <t>10 to 15 MB</t>
  </si>
  <si>
    <t>&lt; 4.5 secs</t>
  </si>
  <si>
    <t>15 to 25 MB</t>
  </si>
  <si>
    <t>&lt; 7.5 secs</t>
  </si>
  <si>
    <t>26 to 50 MB</t>
  </si>
  <si>
    <t>&lt; 15 secs</t>
  </si>
  <si>
    <t xml:space="preserve">Execution Date &amp; Time </t>
  </si>
  <si>
    <t>Label</t>
  </si>
  <si>
    <t># Samples</t>
  </si>
  <si>
    <t>Average</t>
  </si>
  <si>
    <t>Median</t>
  </si>
  <si>
    <t>90% Line</t>
  </si>
  <si>
    <t>95% Line</t>
  </si>
  <si>
    <t>99% Line</t>
  </si>
  <si>
    <t>Min</t>
  </si>
  <si>
    <t>Max</t>
  </si>
  <si>
    <t>Error %</t>
  </si>
  <si>
    <t>Throughput</t>
  </si>
  <si>
    <t>Received KB/sec</t>
  </si>
  <si>
    <t>Sent KB/sec</t>
  </si>
  <si>
    <t>Comment</t>
  </si>
  <si>
    <t>TOTAL</t>
  </si>
  <si>
    <t>3/9/2026 &amp; 4:13:52 PM to 4:35:44 PM</t>
  </si>
  <si>
    <t xml:space="preserve">System Information - 16 GB </t>
  </si>
  <si>
    <t>AMD EPYC 7763 64-Core Processor 16 GB (2.4 GHz)</t>
  </si>
  <si>
    <t>HTTP Request-AIMDL.PLANNER</t>
  </si>
  <si>
    <t>HTTP Request-AIMDL.INTENT</t>
  </si>
  <si>
    <t>HTTP Request-AIMDL.EMB</t>
  </si>
  <si>
    <t>HTTP Request-AIMDL.SLM</t>
  </si>
  <si>
    <t>HTTP Request-VOICE</t>
  </si>
  <si>
    <t>HTTP Request-OCR</t>
  </si>
  <si>
    <t>HTTP Request-AIMDL-VOICE1</t>
  </si>
  <si>
    <t>HTTP Request-AIMDL-VOICE2</t>
  </si>
  <si>
    <t>HTTP Request-AIMDL-VOICE3</t>
  </si>
  <si>
    <t>HTTP Request-AIMDL-VOICE4</t>
  </si>
  <si>
    <t>2026-04-14 13:12:14 TO 2026-04-14 13:12:17</t>
  </si>
  <si>
    <t>Throughput /min</t>
  </si>
  <si>
    <t>Target response is &lt; 1.5 secs</t>
  </si>
  <si>
    <t>Target response is 3 secs</t>
  </si>
  <si>
    <t>Target response is 4.5 secs</t>
  </si>
  <si>
    <t>Adding .docx file of size around 14 MB</t>
  </si>
  <si>
    <t>Target response is 7.5 secs</t>
  </si>
  <si>
    <t>Adding .docx file of size around 9 MB containing multilungal data</t>
  </si>
  <si>
    <t>Target response is &lt; 3 secs</t>
  </si>
  <si>
    <t>Failed, Got error "Failed to execute LLM command"</t>
  </si>
  <si>
    <t>error appeared due to failure in GetDocumentChunkIds APIs</t>
  </si>
  <si>
    <t>Negtive scenario to add unsupported .jpeg file of size around 5 MB</t>
  </si>
  <si>
    <t>Expected response. Status code 200 OK, Response - {
    "response": "DocumentAnalysisServiceError: `C:\/Users\/SFT-AIC\/Desktop\/ODF_TestFiles\/TestFile_JPEG_Approx_5MB.jpeg` is not a supported file type."
}</t>
  </si>
  <si>
    <t>Negtive scenario to add unsupported .png file of size around 2 MB</t>
  </si>
  <si>
    <t>Target response is 1.5 secs</t>
  </si>
  <si>
    <t>Target response is less than 1.5 secs</t>
  </si>
  <si>
    <t>Adding .docx file of size 38KB with combination of image and text both</t>
  </si>
  <si>
    <t xml:space="preserve">2026-04-14 21:53:16 TO </t>
  </si>
  <si>
    <r>
      <t xml:space="preserve">32 GB - Snapdragon(R) X Elite - X1E78100 - </t>
    </r>
    <r>
      <rPr>
        <b/>
        <sz val="9"/>
        <rFont val="Calibri"/>
        <family val="2"/>
        <scheme val="minor"/>
      </rPr>
      <t>Qualcomm</t>
    </r>
    <r>
      <rPr>
        <sz val="9"/>
        <rFont val="Calibri"/>
        <family val="2"/>
        <scheme val="minor"/>
      </rPr>
      <t>(R) Oryon(TM) CPU (3.42 GHz)</t>
    </r>
  </si>
  <si>
    <t>1.0.1163.0</t>
  </si>
  <si>
    <t>2026-05-06 04:27:43 TO 2026-05-06 04:28:59</t>
  </si>
  <si>
    <t>2026-05-05 04:00:16 TO 2026-05-05 04:00:28</t>
  </si>
  <si>
    <t>Target Response is &lt; 1.5 sec</t>
  </si>
  <si>
    <t>2026-05-05 04:06:37 TO 2026-05-05 04:06:38</t>
  </si>
  <si>
    <t>2026-05-05 04:10:46 TO 2026-05-05 04:10:47</t>
  </si>
  <si>
    <t>2026-05-05 04:14:57 TO 2026-05-05 04:15:06</t>
  </si>
  <si>
    <t>Target response should be &lt;3 secs</t>
  </si>
  <si>
    <t>2026-05-05 04:19:03 TO 2026-05-05 04:19:58</t>
  </si>
  <si>
    <t>2026-05-05 04:26:17 TO 2026-05-05 05:20:22</t>
  </si>
  <si>
    <t>Test Case 07.01</t>
  </si>
  <si>
    <t>RETEST - Adding .docx file of size around 14 MB</t>
  </si>
  <si>
    <t xml:space="preserve">2026-05-07 04:14:41 TO 2026-05-07 05:07:59 </t>
  </si>
  <si>
    <t>2026-05-05 05:26:13 TO 2026-05-05 05:26:41</t>
  </si>
  <si>
    <t>2026-05-05 05:30:31 TO 2026-05-05 05:31:09</t>
  </si>
  <si>
    <t>Target response is &lt; 15 secs</t>
  </si>
  <si>
    <t xml:space="preserve">2026-05-06 04:34:42 TO </t>
  </si>
  <si>
    <t>2026-05-06 01:48:30 TO 2026-05-06 01:48:30</t>
  </si>
  <si>
    <t>2026-05-06 01:55:20 TO 2026-05-06 01:55:22</t>
  </si>
  <si>
    <t>2026-05-06 02:03:40 TO 2026-05-06 02:25:11</t>
  </si>
  <si>
    <t>2026-05-06 02:30:54 TO 2026-05-06 03:29:52</t>
  </si>
  <si>
    <t>2026-05-06 03:38:45 TO 2026-05-06 03:44:38</t>
  </si>
  <si>
    <t>2026-05-06 03:48:16 TO 2026-05-06 03:58:25</t>
  </si>
  <si>
    <t>2026-05-06 04:16:33 TO 2026-05-06 04:16:44</t>
  </si>
  <si>
    <t>2026-05-06 04:21:34 TO 2026-05-06 04:22:52</t>
  </si>
  <si>
    <t>Adding .pdf file of 7MB and executing the script 2 times simultaneously and observe the behavior</t>
  </si>
  <si>
    <t>2026-05-07 03:45:47 TO 2026-05-07 03:46:13</t>
  </si>
  <si>
    <t>32 GB - Snapdragon(R) X Elite - X1E78100 - Qualcomm(R) Oryon(TM) CPU (3.42 GHz)</t>
  </si>
  <si>
    <t>System Information - 32 GB AMD</t>
  </si>
  <si>
    <t>32 GB AMD Ryzen AI 9 HX PRO 375 w/ Radeon 890M (2.00 GHz)</t>
  </si>
  <si>
    <t xml:space="preserve">2026-05-14 12:40:35 to 2026-05-14 12:40:31 </t>
  </si>
  <si>
    <t>2026-05-14 12:45:52 to 2026-05-14 12:45:53</t>
  </si>
  <si>
    <t>2026-05-14 12:50:28 to 2026-05-14 12:50</t>
  </si>
  <si>
    <t>2026-05-14 12:55:08 to 2026-05-14 12:55:10</t>
  </si>
  <si>
    <t>2026-05-14 13:01:01 to 2026-05-14 13:01:10</t>
  </si>
  <si>
    <t>2026-05-14 13:13:56 to 2026-05-14 13:14:26</t>
  </si>
  <si>
    <t>2026-05-14 13:18:13 to 2026-05-14 13:32:47</t>
  </si>
  <si>
    <t>2026-05-14 20:29:34 to 2026-05-14 20:33:02</t>
  </si>
  <si>
    <t>Max CPU Usage</t>
  </si>
  <si>
    <t xml:space="preserve">Avg CPU Usage </t>
  </si>
  <si>
    <t>Memory Used (Consumed)</t>
  </si>
  <si>
    <t>Disk Peak</t>
  </si>
  <si>
    <t>GPU Usage</t>
  </si>
  <si>
    <t>2000 MB</t>
  </si>
  <si>
    <t>~ 41 %</t>
  </si>
  <si>
    <t>2026-05-14 22:01:26 to 2026-05-14 22:01:49</t>
  </si>
  <si>
    <t>5658 MB</t>
  </si>
  <si>
    <t>~ 6%</t>
  </si>
  <si>
    <t>2026-05-15 11:39:15 to 2026-05-15 11:49:03</t>
  </si>
  <si>
    <t>~30.04%</t>
  </si>
  <si>
    <t>1469 MB</t>
  </si>
  <si>
    <t>~ 11%</t>
  </si>
  <si>
    <t>2026-05-15 13:24:38 to 2026-05-15 13:24:50</t>
  </si>
  <si>
    <t>~ 9%</t>
  </si>
  <si>
    <t>262 MB</t>
  </si>
  <si>
    <t>~7%</t>
  </si>
  <si>
    <t>2026-05-15 13:34:55 to 2026-05-15 13:35:07</t>
  </si>
  <si>
    <t>307 MB</t>
  </si>
  <si>
    <t>~ 4%</t>
  </si>
  <si>
    <t>2026-05-15 14:12:17 to 2026-05-15 14:14:14</t>
  </si>
  <si>
    <t>~ 32.51 %</t>
  </si>
  <si>
    <t>723 MB</t>
  </si>
  <si>
    <t>~ 4.06%</t>
  </si>
  <si>
    <t>2026-05-15 14:23:02 to 2026-05-15 14:28:00</t>
  </si>
  <si>
    <t>~ 15.28%</t>
  </si>
  <si>
    <t>191 MB</t>
  </si>
  <si>
    <t>~ 6.7%</t>
  </si>
  <si>
    <t>2026-05-15 14:37:49 to 2026-05-15 14:38:21</t>
  </si>
  <si>
    <t>~ 14.09%</t>
  </si>
  <si>
    <t>604 MB</t>
  </si>
  <si>
    <t>~ 3.12%</t>
  </si>
  <si>
    <t>2026-05-15 14:47:17 to 2026-05-15 14:48:11</t>
  </si>
  <si>
    <t>~34.9%</t>
  </si>
  <si>
    <t>392 MB</t>
  </si>
  <si>
    <t>~ 3.24%</t>
  </si>
  <si>
    <t>2026-05-15 14:59:34 to 2026-05-15 14:59:36</t>
  </si>
  <si>
    <t>~10.24%</t>
  </si>
  <si>
    <t>213 MB</t>
  </si>
  <si>
    <t>~ 7.21%</t>
  </si>
  <si>
    <t>2026-05-15 15:07:16 to 2026-05-15 15:07:29</t>
  </si>
  <si>
    <t>~ 19%</t>
  </si>
  <si>
    <t>879 MB</t>
  </si>
  <si>
    <t>~ 6.89%</t>
  </si>
  <si>
    <t>2026-05-18 15:30:38 to 2026-05-18 15:30:55</t>
  </si>
  <si>
    <t>~ 21.84%</t>
  </si>
  <si>
    <t>1071 MB</t>
  </si>
  <si>
    <t>~3.29%</t>
  </si>
  <si>
    <t>System Information - 32 GB</t>
  </si>
  <si>
    <t>2026-05-14 12:40:31 to 2026-05-14 12:40:35</t>
  </si>
  <si>
    <t>Negative- Adding .jpeg file of size around 5 MB</t>
  </si>
  <si>
    <t>Negative- Adding .png file of size around 2 MB</t>
  </si>
  <si>
    <t>2026-05-18 16:33:09 to 2026-05-18 16:34:07</t>
  </si>
  <si>
    <t>Device</t>
  </si>
  <si>
    <t>Link</t>
  </si>
  <si>
    <t>PerfMonReports-32GB_AMD</t>
  </si>
  <si>
    <t>Test Case #</t>
  </si>
  <si>
    <t>Description</t>
  </si>
  <si>
    <r>
      <t xml:space="preserve">64 GB AMD Device
</t>
    </r>
    <r>
      <rPr>
        <sz val="9"/>
        <color theme="1"/>
        <rFont val="Calibri"/>
        <family val="2"/>
        <scheme val="minor"/>
      </rPr>
      <t>(Of AddDocSync API)</t>
    </r>
  </si>
  <si>
    <r>
      <t xml:space="preserve">32 GB Qualcomm
</t>
    </r>
    <r>
      <rPr>
        <sz val="9"/>
        <color theme="1"/>
        <rFont val="Calibri"/>
        <family val="2"/>
        <scheme val="minor"/>
      </rPr>
      <t>(Of AddDocSync API)</t>
    </r>
  </si>
  <si>
    <r>
      <t xml:space="preserve">32 GB AMD 
</t>
    </r>
    <r>
      <rPr>
        <sz val="9"/>
        <color theme="1"/>
        <rFont val="Calibri"/>
        <family val="2"/>
        <scheme val="minor"/>
      </rPr>
      <t>(Of AddDocSync API)</t>
    </r>
  </si>
  <si>
    <t>Jira Id</t>
  </si>
  <si>
    <t>Test case 02</t>
  </si>
  <si>
    <t>On uploading .pdf file of size 83 kb, average response time (ART) of AddDocumentAsync API is breaching the target NFR of &lt; 1.5 secs</t>
  </si>
  <si>
    <t>2.8 sec</t>
  </si>
  <si>
    <t>10.87 sec</t>
  </si>
  <si>
    <t>IQSW-6516</t>
  </si>
  <si>
    <t>Test case 03</t>
  </si>
  <si>
    <t>On uploading .docx file of size 17 kb, response time of AddDocumentAsync API is breaching the target NFR i.e. less than  &lt; 1.5 secs</t>
  </si>
  <si>
    <t>2.6 sec</t>
  </si>
  <si>
    <t>Test case 04</t>
  </si>
  <si>
    <t>On uploading .pptx file of size 38 kb, average response time (ART) of AddDocumentAsync API is breaching the target NFR i.e. less than  &lt; 1.5 secs</t>
  </si>
  <si>
    <t>3.6 sec</t>
  </si>
  <si>
    <t>On uploading a .pdf file of around 7 MB, repsonse time of AddDocumentAsync API is breaching the target NFR i.e. less than  3 sec</t>
  </si>
  <si>
    <t>9.09 sec</t>
  </si>
  <si>
    <t>8.27 sec</t>
  </si>
  <si>
    <t>8.5 sec</t>
  </si>
  <si>
    <t>On uploading around 9 MB .docx file containing a multilingual data average response time (ART) of all the API's  and AddDocumentAsync API is which far from away from the target NFR i.e. less than  3 secs</t>
  </si>
  <si>
    <t>ART of all API - 10 mins
ART of AddDocAsync - 41 mins</t>
  </si>
  <si>
    <t>ART of all API - 30.1 mins
ART of AddDocAsync - 120.6 mins</t>
  </si>
  <si>
    <t>ART of all API - 2.45 mins
ART of AddDocAsync -9.79 mins</t>
  </si>
  <si>
    <r>
      <t xml:space="preserve">On uploading around 9 MB .docx file containing a multilingual data GetDocumentChunkIds API is throwing error with the message appearing as-  </t>
    </r>
    <r>
      <rPr>
        <sz val="11"/>
        <color rgb="FFFF0000"/>
        <rFont val="Courier New"/>
        <family val="3"/>
      </rPr>
      <t>"Failed to execute LLM command"</t>
    </r>
  </si>
  <si>
    <t>error appeared</t>
  </si>
  <si>
    <t>IQSW-6514</t>
  </si>
  <si>
    <t>On uploading around 9 MB .pdf file containing multilingal data, average response time of all the API's and  AddDocumentAsync API is breaching the target NFR i.e. less than  3 sec</t>
  </si>
  <si>
    <t>ART of all API - 8.1 mins
ART of AddDocAsync - 32.6 mins</t>
  </si>
  <si>
    <t>ART of all API - 14.7 mins
ART of AddDocAsync - 32.6 mins</t>
  </si>
  <si>
    <t>ART of all API - 1.24 mins
ART of AddDocAsync - 4.95 mins</t>
  </si>
  <si>
    <t>On uploading around 2 MB .docx file average response time (ART) of all the API's and AddDocumentAsync API is breaching the target NFR i.e. less than 1.5 secs</t>
  </si>
  <si>
    <t>ART of all API - 11 mins
ART of AddDocAsync - 46 mins</t>
  </si>
  <si>
    <t>ART of all API - 5.3 mins
ART of AddDocAsync - 21.5 mins</t>
  </si>
  <si>
    <t>ART of all API - 29.35 secs
ART of AddDocAsync - 1.94 mins</t>
  </si>
  <si>
    <t>On uploading a .pdf file with size 1 MB containing multilingal data, average response time (ART) of all the API's and AddDocumentAsync is breaching the target NFR i..e less than 1.5 secs</t>
  </si>
  <si>
    <t>ART of all API - 48.6 secs
ART of AddDocAsync - 3.2 mins</t>
  </si>
  <si>
    <t>ART of all API - 88.3 secs
ART of AddDocAsync - 5.8 mins</t>
  </si>
  <si>
    <t>ART of all API - 8.12 secs
ART of AddDocAsync - 32 secs</t>
  </si>
  <si>
    <t>On uploading around 2 MB .pdf file containing mix of images and text, average response time (ART) and AddDocumentAsync API is breaching the target NFR i.e. less than 1.5 secs</t>
  </si>
  <si>
    <t>ART of all API -  1 mins
ART of AddDocAsync - 4 mins</t>
  </si>
  <si>
    <t>ART of all API -  2.5 mins
ART of AddDocAsync - 10.1 mins</t>
  </si>
  <si>
    <t>ART of all API - 13.50 secs
ART of AddDocAsync - 53.50 secs</t>
  </si>
  <si>
    <t>On uploading the .docx file of 38 kb containing combination of text and images, average response time (ART) of AddDocumentAsync API appeared as 2.7 secs which is breaching the target NFR i.e. less than 1.5 secs</t>
  </si>
  <si>
    <t>2.7 secs</t>
  </si>
  <si>
    <t>ART of all API -  2.9 sec
ART of AddDocAsync - 11.5 sec</t>
  </si>
  <si>
    <t>On uploading around 3 MB .docx file containing mix of images and text, average response time (ART) of all the API's and AddDocumentAsync API is breaching the target NFR i.e. less than 1.5 secs</t>
  </si>
  <si>
    <t>ART of all API - 21 secs
ART of AddDocAsync - 86 secs</t>
  </si>
  <si>
    <t>ART of all API - 19.4 secs
ART of AddDocAsync - 77.8 secs</t>
  </si>
  <si>
    <t>ART of all API - 3.41 secs
ART of AddDocAsync - 13.2</t>
  </si>
  <si>
    <t>On uploading .pdf file of size 11MB, average response time (ART) of all the api's and AddDocumentAsync API is  breaching the target NFR i.e. less than 4.5 secs</t>
  </si>
  <si>
    <t>ART of all API - 8.2 sec
ART of AddDocAsync - 32.7 sec</t>
  </si>
  <si>
    <t>ART of all API - 13.7 mins
ART of AddDocAsync - 58.8 mins</t>
  </si>
  <si>
    <t>24.42 sec</t>
  </si>
  <si>
    <t>On uploading docx file of size 14MB, average response time (ART) of all the api's and AddDocumentAsync API is breaching the target NFR i.e. less than 4.5 secs</t>
  </si>
  <si>
    <t>ART of all API - 2 mins
ART of AddDocAsync - 9.8 mins</t>
  </si>
  <si>
    <t>ART of all API - 13.5 mins
ART of AddDocAsync - 54.07 mins</t>
  </si>
  <si>
    <t>ART of all API - 3.63 mins
ART of AddDocAsync -14.5 mins</t>
  </si>
  <si>
    <t>On uploading .pdf file of size 21MB, Avg response time (ART) of all the api's and AddDocumentAsync API is  breaching the target NFR i.e. less than 7.5 secs</t>
  </si>
  <si>
    <t>ART of all API - 11.3 sec
ART of AddDocAsync - 45 sec</t>
  </si>
  <si>
    <t xml:space="preserve">
ART of AddDocAsync - 27 sec</t>
  </si>
  <si>
    <t>15.49 sec</t>
  </si>
  <si>
    <t>On uploading .pdf file of size 43 MB, Avg response time (ART) of  AddDocumentAsync API is breaching the target NFR i.e. less than 15 secs</t>
  </si>
  <si>
    <t>37.4 secs</t>
  </si>
  <si>
    <t>22.01 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</si>
</sst>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font>
      <sz val="11"/>
      <color theme="1"/>
      <name val="Calibri"/>
      <family val="2"/>
      <scheme val="minor"/>
    </font>
    <font>
      <sz val="11"/>
      <color rgb="FFFF0000"/>
      <name val="Calibri"/>
      <family val="2"/>
      <scheme val="minor"/>
    </font>
    <font>
      <b/>
      <sz val="11"/>
      <color theme="1"/>
      <name val="Calibri"/>
      <family val="2"/>
      <scheme val="minor"/>
    </font>
    <font>
      <sz val="9"/>
      <color theme="1"/>
      <name val="Calibri"/>
      <family val="2"/>
      <scheme val="minor"/>
    </font>
    <font>
      <b/>
      <sz val="9"/>
      <color theme="1"/>
      <name val="Calibri"/>
      <family val="2"/>
      <scheme val="minor"/>
    </font>
    <font>
      <b/>
      <sz val="11"/>
      <color rgb="FFFF0000"/>
      <name val="Calibri"/>
      <family val="2"/>
      <scheme val="minor"/>
    </font>
    <font>
      <sz val="11"/>
      <name val="Calibri"/>
      <family val="2"/>
      <scheme val="minor"/>
    </font>
    <font>
      <sz val="11"/>
      <color rgb="FFFF0000"/>
      <name val="Courier New"/>
      <family val="3"/>
    </font>
    <font>
      <sz val="8"/>
      <color theme="1"/>
      <name val="Calibri"/>
      <family val="2"/>
      <scheme val="minor"/>
    </font>
    <font>
      <b/>
      <sz val="11"/>
      <name val="Calibri"/>
      <family val="2"/>
      <scheme val="minor"/>
    </font>
    <font>
      <sz val="9"/>
      <name val="Calibri"/>
      <family val="2"/>
      <scheme val="minor"/>
    </font>
    <font>
      <b/>
      <sz val="9"/>
      <name val="Calibri"/>
      <family val="2"/>
      <scheme val="minor"/>
    </font>
    <font>
      <u/>
      <sz val="11"/>
      <color theme="10"/>
      <name val="Calibri"/>
      <family val="2"/>
      <scheme val="minor"/>
    </font>
    <font>
      <b/>
      <u/>
      <sz val="11"/>
      <color theme="10"/>
      <name val="Calibri"/>
      <family val="2"/>
      <scheme val="minor"/>
    </font>
    <font>
      <sz val="9"/>
      <color rgb="FFFF0000"/>
      <name val="Calibri"/>
      <family val="2"/>
      <scheme val="minor"/>
    </font>
  </fonts>
  <fills count="3">
    <fill>
      <patternFill patternType="none"/>
    </fill>
    <fill>
      <patternFill patternType="gray125"/>
    </fill>
    <fill>
      <patternFill patternType="solid">
        <fgColor them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s>
  <cellStyleXfs count="2">
    <xf numFmtId="0" fontId="0" fillId="0" borderId="0"/>
    <xf numFmtId="0" fontId="12" fillId="0" borderId="0" applyNumberFormat="0" applyFill="0" applyBorder="0" applyAlignment="0" applyProtection="0"/>
  </cellStyleXfs>
  <cellXfs count="176">
    <xf numFmtId="0" fontId="0" fillId="0" borderId="0" xfId="0"/>
    <xf numFmtId="0" fontId="0" fillId="0" borderId="0" xfId="0" applyAlignment="1">
      <alignment horizontal="center"/>
    </xf>
    <xf numFmtId="0" fontId="0" fillId="0" borderId="0" xfId="0" applyAlignment="1">
      <alignment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0" xfId="0" applyAlignment="1">
      <alignment vertical="center"/>
    </xf>
    <xf numFmtId="0" fontId="0" fillId="0" borderId="1" xfId="0" applyBorder="1" applyAlignment="1">
      <alignment vertical="center"/>
    </xf>
    <xf numFmtId="0" fontId="2" fillId="2" borderId="0" xfId="0" applyFont="1" applyFill="1" applyAlignment="1">
      <alignment vertical="center"/>
    </xf>
    <xf numFmtId="0" fontId="3" fillId="2" borderId="0" xfId="0" applyFont="1" applyFill="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xf>
    <xf numFmtId="0" fontId="3" fillId="0" borderId="0" xfId="0" applyFont="1" applyAlignment="1">
      <alignment horizontal="left" vertical="center"/>
    </xf>
    <xf numFmtId="0" fontId="3" fillId="0" borderId="0" xfId="0" applyFont="1" applyAlignment="1">
      <alignment horizontal="left"/>
    </xf>
    <xf numFmtId="0" fontId="4" fillId="0" borderId="0" xfId="0" applyFont="1" applyAlignment="1">
      <alignment vertical="center"/>
    </xf>
    <xf numFmtId="0" fontId="3" fillId="0" borderId="0" xfId="0" applyFont="1" applyAlignment="1">
      <alignment vertical="center"/>
    </xf>
    <xf numFmtId="0" fontId="4" fillId="0" borderId="6" xfId="0" applyFont="1" applyBorder="1" applyAlignment="1">
      <alignment vertical="center"/>
    </xf>
    <xf numFmtId="0" fontId="3" fillId="0" borderId="6" xfId="0" applyFont="1" applyBorder="1" applyAlignment="1">
      <alignment vertical="center"/>
    </xf>
    <xf numFmtId="0" fontId="3" fillId="0" borderId="6" xfId="0" applyFont="1" applyBorder="1" applyAlignment="1">
      <alignment horizontal="center" vertical="center"/>
    </xf>
    <xf numFmtId="0" fontId="0" fillId="0" borderId="6" xfId="0" applyBorder="1" applyAlignment="1">
      <alignment horizontal="center" vertical="center"/>
    </xf>
    <xf numFmtId="0" fontId="0" fillId="0" borderId="6" xfId="0" applyBorder="1"/>
    <xf numFmtId="0" fontId="2" fillId="0" borderId="1" xfId="0" applyFont="1" applyBorder="1" applyAlignment="1">
      <alignment vertical="center"/>
    </xf>
    <xf numFmtId="0" fontId="2" fillId="0" borderId="7" xfId="0" applyFont="1" applyBorder="1" applyAlignment="1">
      <alignment vertical="center"/>
    </xf>
    <xf numFmtId="0" fontId="4" fillId="0" borderId="8" xfId="0" applyFont="1" applyBorder="1" applyAlignment="1">
      <alignment horizontal="center" vertical="center"/>
    </xf>
    <xf numFmtId="0" fontId="3" fillId="0" borderId="8" xfId="0" applyFont="1" applyBorder="1" applyAlignment="1">
      <alignment horizontal="center" vertical="center"/>
    </xf>
    <xf numFmtId="0" fontId="0" fillId="0" borderId="8" xfId="0" applyBorder="1" applyAlignment="1">
      <alignment horizontal="center" vertical="center"/>
    </xf>
    <xf numFmtId="0" fontId="4" fillId="0" borderId="9" xfId="0" applyFont="1" applyBorder="1" applyAlignment="1">
      <alignment vertical="center"/>
    </xf>
    <xf numFmtId="14" fontId="3" fillId="0" borderId="7" xfId="0" applyNumberFormat="1" applyFont="1" applyBorder="1" applyAlignment="1">
      <alignment horizontal="left"/>
    </xf>
    <xf numFmtId="0" fontId="3" fillId="0" borderId="11" xfId="0" applyFont="1" applyBorder="1" applyAlignment="1">
      <alignment horizontal="center" vertical="center"/>
    </xf>
    <xf numFmtId="0" fontId="0" fillId="0" borderId="11" xfId="0" applyBorder="1" applyAlignment="1">
      <alignment horizontal="center" vertical="center"/>
    </xf>
    <xf numFmtId="0" fontId="2" fillId="2" borderId="1" xfId="0" applyFont="1" applyFill="1" applyBorder="1" applyAlignment="1">
      <alignment horizontal="center"/>
    </xf>
    <xf numFmtId="0" fontId="2" fillId="2" borderId="1" xfId="0" applyFont="1" applyFill="1" applyBorder="1" applyAlignment="1">
      <alignment horizontal="center" vertical="center"/>
    </xf>
    <xf numFmtId="0" fontId="2" fillId="0" borderId="0" xfId="0" applyFont="1" applyAlignment="1">
      <alignment horizontal="center"/>
    </xf>
    <xf numFmtId="0" fontId="0" fillId="0" borderId="1" xfId="0" applyBorder="1"/>
    <xf numFmtId="0" fontId="0" fillId="0" borderId="1" xfId="0" applyBorder="1" applyAlignment="1">
      <alignment horizontal="center" vertical="center"/>
    </xf>
    <xf numFmtId="10" fontId="0" fillId="0" borderId="1" xfId="0" applyNumberFormat="1" applyBorder="1" applyAlignment="1">
      <alignment horizontal="center" vertical="center"/>
    </xf>
    <xf numFmtId="164" fontId="0" fillId="0" borderId="1" xfId="0" applyNumberFormat="1" applyBorder="1" applyAlignment="1">
      <alignment horizontal="center" vertical="center"/>
    </xf>
    <xf numFmtId="2" fontId="0" fillId="0" borderId="1" xfId="0" applyNumberFormat="1" applyBorder="1" applyAlignment="1">
      <alignment horizontal="center" vertical="center"/>
    </xf>
    <xf numFmtId="0" fontId="0" fillId="0" borderId="2" xfId="0" applyBorder="1"/>
    <xf numFmtId="0" fontId="0" fillId="0" borderId="2" xfId="0" applyBorder="1" applyAlignment="1">
      <alignment horizontal="center" vertical="center"/>
    </xf>
    <xf numFmtId="10" fontId="0" fillId="0" borderId="2" xfId="0" applyNumberFormat="1" applyBorder="1" applyAlignment="1">
      <alignment horizontal="center" vertical="center"/>
    </xf>
    <xf numFmtId="164" fontId="0" fillId="0" borderId="2" xfId="0" applyNumberFormat="1" applyBorder="1" applyAlignment="1">
      <alignment horizontal="center" vertical="center"/>
    </xf>
    <xf numFmtId="2" fontId="0" fillId="0" borderId="2" xfId="0" applyNumberFormat="1" applyBorder="1" applyAlignment="1">
      <alignment horizontal="center" vertical="center"/>
    </xf>
    <xf numFmtId="10" fontId="0" fillId="0" borderId="0" xfId="0" applyNumberFormat="1" applyAlignment="1">
      <alignment horizontal="center" vertical="center"/>
    </xf>
    <xf numFmtId="0" fontId="4" fillId="0" borderId="12" xfId="0" applyFont="1" applyBorder="1" applyAlignment="1">
      <alignment vertical="center"/>
    </xf>
    <xf numFmtId="0" fontId="4" fillId="0" borderId="10" xfId="0" applyFont="1" applyBorder="1" applyAlignment="1">
      <alignment horizontal="left" vertical="center"/>
    </xf>
    <xf numFmtId="0" fontId="0" fillId="0" borderId="7" xfId="0" applyBorder="1" applyAlignment="1">
      <alignment vertical="center"/>
    </xf>
    <xf numFmtId="49" fontId="0" fillId="0" borderId="0" xfId="0" applyNumberFormat="1"/>
    <xf numFmtId="0" fontId="4" fillId="0" borderId="1" xfId="0" applyFont="1" applyBorder="1" applyAlignment="1">
      <alignment vertical="center"/>
    </xf>
    <xf numFmtId="0" fontId="2" fillId="0" borderId="0" xfId="0" applyFont="1" applyAlignment="1">
      <alignment vertical="center"/>
    </xf>
    <xf numFmtId="164" fontId="5" fillId="0" borderId="1" xfId="0" applyNumberFormat="1" applyFont="1" applyBorder="1" applyAlignment="1">
      <alignment horizontal="center" vertical="center"/>
    </xf>
    <xf numFmtId="0" fontId="4" fillId="0" borderId="0" xfId="0" applyFont="1" applyAlignment="1">
      <alignment horizontal="left" vertical="center"/>
    </xf>
    <xf numFmtId="164" fontId="6" fillId="0" borderId="1" xfId="0" applyNumberFormat="1" applyFont="1" applyBorder="1" applyAlignment="1">
      <alignment horizontal="center" vertical="center"/>
    </xf>
    <xf numFmtId="164" fontId="6" fillId="0" borderId="2" xfId="0" applyNumberFormat="1" applyFont="1" applyBorder="1" applyAlignment="1">
      <alignment horizontal="center" vertical="center"/>
    </xf>
    <xf numFmtId="10" fontId="5" fillId="0" borderId="1" xfId="0" applyNumberFormat="1" applyFont="1" applyBorder="1" applyAlignment="1">
      <alignment horizontal="center" vertical="center"/>
    </xf>
    <xf numFmtId="0" fontId="1" fillId="0" borderId="1" xfId="0" applyFont="1" applyBorder="1" applyAlignment="1">
      <alignment horizontal="center" vertical="center"/>
    </xf>
    <xf numFmtId="10" fontId="5" fillId="0" borderId="2" xfId="0" applyNumberFormat="1" applyFont="1" applyBorder="1" applyAlignment="1">
      <alignment horizontal="center" vertical="center"/>
    </xf>
    <xf numFmtId="164" fontId="5" fillId="0" borderId="2" xfId="0" applyNumberFormat="1" applyFont="1" applyBorder="1" applyAlignment="1">
      <alignment horizontal="center" vertical="center"/>
    </xf>
    <xf numFmtId="14" fontId="3" fillId="0" borderId="7" xfId="0" applyNumberFormat="1" applyFont="1" applyBorder="1" applyAlignment="1">
      <alignment horizontal="left" vertical="center"/>
    </xf>
    <xf numFmtId="0" fontId="2" fillId="2" borderId="1" xfId="0" applyFont="1" applyFill="1" applyBorder="1" applyAlignment="1">
      <alignment horizontal="left" vertical="center"/>
    </xf>
    <xf numFmtId="0" fontId="2" fillId="2" borderId="1" xfId="0" applyFont="1" applyFill="1" applyBorder="1" applyAlignment="1">
      <alignmen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2" xfId="0" applyBorder="1" applyAlignment="1">
      <alignment vertical="center"/>
    </xf>
    <xf numFmtId="0" fontId="2" fillId="0" borderId="0" xfId="0" applyFont="1" applyAlignment="1">
      <alignment horizontal="left" vertical="center"/>
    </xf>
    <xf numFmtId="0" fontId="1" fillId="0" borderId="1" xfId="0" applyFont="1" applyBorder="1" applyAlignment="1">
      <alignment horizontal="left" vertical="center"/>
    </xf>
    <xf numFmtId="0" fontId="0" fillId="0" borderId="0" xfId="0" applyAlignment="1">
      <alignment horizontal="left" vertical="center"/>
    </xf>
    <xf numFmtId="0" fontId="2" fillId="0" borderId="0" xfId="0" applyFont="1" applyAlignment="1">
      <alignment horizontal="center" vertical="center" wrapText="1"/>
    </xf>
    <xf numFmtId="0" fontId="2" fillId="0" borderId="1" xfId="0" applyFont="1" applyBorder="1" applyAlignment="1">
      <alignment vertical="center" wrapText="1"/>
    </xf>
    <xf numFmtId="10" fontId="6" fillId="0" borderId="1" xfId="0" applyNumberFormat="1" applyFont="1" applyBorder="1" applyAlignment="1">
      <alignment horizontal="center" vertical="center"/>
    </xf>
    <xf numFmtId="0" fontId="2" fillId="2" borderId="9" xfId="0" applyFont="1" applyFill="1" applyBorder="1" applyAlignment="1">
      <alignment horizontal="center"/>
    </xf>
    <xf numFmtId="0" fontId="0" fillId="0" borderId="9" xfId="0" applyBorder="1"/>
    <xf numFmtId="0" fontId="0" fillId="0" borderId="5" xfId="0" applyBorder="1"/>
    <xf numFmtId="164" fontId="6" fillId="0" borderId="5" xfId="0" applyNumberFormat="1" applyFont="1" applyBorder="1" applyAlignment="1">
      <alignment horizontal="center" vertical="center"/>
    </xf>
    <xf numFmtId="0" fontId="0" fillId="0" borderId="4" xfId="0" applyBorder="1" applyAlignment="1">
      <alignment horizontal="center" vertical="center"/>
    </xf>
    <xf numFmtId="0" fontId="3" fillId="0" borderId="9" xfId="0" applyFont="1" applyBorder="1" applyAlignment="1">
      <alignment horizontal="center" vertical="center"/>
    </xf>
    <xf numFmtId="0" fontId="3" fillId="0" borderId="12" xfId="0" applyFont="1" applyBorder="1" applyAlignment="1">
      <alignment horizontal="center" vertical="center"/>
    </xf>
    <xf numFmtId="0" fontId="3" fillId="0" borderId="4" xfId="0" applyFont="1" applyBorder="1" applyAlignment="1">
      <alignment horizontal="center" vertical="center"/>
    </xf>
    <xf numFmtId="0" fontId="0" fillId="0" borderId="4" xfId="0" applyBorder="1" applyAlignment="1">
      <alignment vertical="center" wrapText="1"/>
    </xf>
    <xf numFmtId="10" fontId="6" fillId="0" borderId="2" xfId="0" applyNumberFormat="1" applyFont="1" applyBorder="1" applyAlignment="1">
      <alignment horizontal="center" vertical="center"/>
    </xf>
    <xf numFmtId="0" fontId="8" fillId="0" borderId="9" xfId="0" applyFont="1" applyBorder="1"/>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0" borderId="6" xfId="0" applyFont="1" applyBorder="1" applyAlignment="1">
      <alignment horizontal="center"/>
    </xf>
    <xf numFmtId="0" fontId="9" fillId="2" borderId="0" xfId="0" applyFont="1" applyFill="1" applyAlignment="1">
      <alignment vertical="center"/>
    </xf>
    <xf numFmtId="0" fontId="10" fillId="2" borderId="0" xfId="0" applyFont="1" applyFill="1" applyAlignment="1">
      <alignment horizontal="center" vertical="center"/>
    </xf>
    <xf numFmtId="0" fontId="10" fillId="0" borderId="0" xfId="0" applyFont="1" applyAlignment="1">
      <alignment horizontal="center" vertical="center"/>
    </xf>
    <xf numFmtId="0" fontId="6" fillId="0" borderId="0" xfId="0" applyFont="1" applyAlignment="1">
      <alignment horizontal="center" vertical="center"/>
    </xf>
    <xf numFmtId="0" fontId="6" fillId="0" borderId="0" xfId="0" applyFont="1"/>
    <xf numFmtId="0" fontId="6"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left"/>
    </xf>
    <xf numFmtId="0" fontId="11" fillId="0" borderId="0" xfId="0" applyFont="1" applyAlignment="1">
      <alignment vertical="center"/>
    </xf>
    <xf numFmtId="0" fontId="10" fillId="0" borderId="0" xfId="0" applyFont="1" applyAlignment="1">
      <alignment vertical="center"/>
    </xf>
    <xf numFmtId="0" fontId="11" fillId="0" borderId="6" xfId="0" applyFont="1" applyBorder="1" applyAlignment="1">
      <alignment vertical="center"/>
    </xf>
    <xf numFmtId="0" fontId="10" fillId="0" borderId="6" xfId="0" applyFont="1" applyBorder="1" applyAlignment="1">
      <alignment vertical="center"/>
    </xf>
    <xf numFmtId="0" fontId="10" fillId="0" borderId="6" xfId="0" applyFont="1" applyBorder="1" applyAlignment="1">
      <alignment horizontal="center" vertical="center"/>
    </xf>
    <xf numFmtId="0" fontId="6" fillId="0" borderId="6" xfId="0" applyFont="1" applyBorder="1" applyAlignment="1">
      <alignment horizontal="center" vertical="center"/>
    </xf>
    <xf numFmtId="0" fontId="10" fillId="0" borderId="6" xfId="0" applyFont="1" applyBorder="1" applyAlignment="1">
      <alignment horizontal="center"/>
    </xf>
    <xf numFmtId="0" fontId="6" fillId="0" borderId="6" xfId="0" applyFont="1" applyBorder="1"/>
    <xf numFmtId="0" fontId="6" fillId="0" borderId="4" xfId="0" applyFont="1" applyBorder="1" applyAlignment="1">
      <alignment horizontal="center" vertical="center"/>
    </xf>
    <xf numFmtId="0" fontId="9" fillId="0" borderId="1" xfId="0" applyFont="1" applyBorder="1" applyAlignment="1">
      <alignment vertical="center"/>
    </xf>
    <xf numFmtId="0" fontId="9" fillId="0" borderId="7" xfId="0" applyFont="1" applyBorder="1" applyAlignment="1">
      <alignment vertical="center"/>
    </xf>
    <xf numFmtId="0" fontId="11" fillId="0" borderId="8" xfId="0" applyFont="1" applyBorder="1" applyAlignment="1">
      <alignment horizontal="center" vertical="center"/>
    </xf>
    <xf numFmtId="0" fontId="10" fillId="0" borderId="8" xfId="0" applyFont="1" applyBorder="1" applyAlignment="1">
      <alignment horizontal="center" vertical="center"/>
    </xf>
    <xf numFmtId="0" fontId="6" fillId="0" borderId="8" xfId="0" applyFont="1" applyBorder="1" applyAlignment="1">
      <alignment horizontal="center" vertical="center"/>
    </xf>
    <xf numFmtId="0" fontId="11" fillId="0" borderId="9" xfId="0" applyFont="1" applyBorder="1" applyAlignment="1">
      <alignment vertical="center"/>
    </xf>
    <xf numFmtId="14" fontId="10" fillId="0" borderId="7" xfId="0" applyNumberFormat="1" applyFont="1" applyBorder="1" applyAlignment="1">
      <alignment horizontal="left"/>
    </xf>
    <xf numFmtId="0" fontId="9" fillId="2" borderId="1" xfId="0" applyFont="1" applyFill="1" applyBorder="1" applyAlignment="1">
      <alignment horizontal="center"/>
    </xf>
    <xf numFmtId="0" fontId="9" fillId="2" borderId="1" xfId="0" applyFont="1" applyFill="1" applyBorder="1" applyAlignment="1">
      <alignment horizontal="center" vertical="center"/>
    </xf>
    <xf numFmtId="0" fontId="9" fillId="2" borderId="9" xfId="0" applyFont="1" applyFill="1" applyBorder="1" applyAlignment="1">
      <alignment horizontal="center"/>
    </xf>
    <xf numFmtId="0" fontId="9" fillId="0" borderId="0" xfId="0" applyFont="1" applyAlignment="1">
      <alignment horizontal="center"/>
    </xf>
    <xf numFmtId="0" fontId="6" fillId="0" borderId="1" xfId="0" applyFont="1" applyBorder="1"/>
    <xf numFmtId="0" fontId="6" fillId="0" borderId="1" xfId="0" applyFont="1" applyBorder="1" applyAlignment="1">
      <alignment horizontal="center" vertical="center"/>
    </xf>
    <xf numFmtId="2" fontId="6" fillId="0" borderId="1" xfId="0" applyNumberFormat="1" applyFont="1" applyBorder="1" applyAlignment="1">
      <alignment horizontal="center" vertical="center"/>
    </xf>
    <xf numFmtId="0" fontId="6" fillId="0" borderId="9" xfId="0" applyFont="1" applyBorder="1"/>
    <xf numFmtId="0" fontId="6" fillId="0" borderId="2" xfId="0" applyFont="1" applyBorder="1"/>
    <xf numFmtId="0" fontId="6" fillId="0" borderId="2" xfId="0" applyFont="1" applyBorder="1" applyAlignment="1">
      <alignment horizontal="center" vertical="center"/>
    </xf>
    <xf numFmtId="2" fontId="6" fillId="0" borderId="2" xfId="0" applyNumberFormat="1" applyFont="1" applyBorder="1" applyAlignment="1">
      <alignment horizontal="center" vertical="center"/>
    </xf>
    <xf numFmtId="0" fontId="6" fillId="0" borderId="5" xfId="0" applyFont="1" applyBorder="1"/>
    <xf numFmtId="10" fontId="6" fillId="0" borderId="0" xfId="0" applyNumberFormat="1" applyFont="1" applyAlignment="1">
      <alignment horizontal="center" vertical="center"/>
    </xf>
    <xf numFmtId="0" fontId="6" fillId="0" borderId="0" xfId="0" applyFont="1" applyAlignment="1">
      <alignment horizontal="center"/>
    </xf>
    <xf numFmtId="0" fontId="10" fillId="0" borderId="9" xfId="0" applyFont="1" applyBorder="1" applyAlignment="1">
      <alignment horizontal="center" vertical="center"/>
    </xf>
    <xf numFmtId="0" fontId="11" fillId="0" borderId="12" xfId="0" applyFont="1" applyBorder="1" applyAlignment="1">
      <alignment vertical="center"/>
    </xf>
    <xf numFmtId="0" fontId="11" fillId="0" borderId="10" xfId="0" applyFont="1" applyBorder="1" applyAlignment="1">
      <alignment horizontal="left" vertical="center"/>
    </xf>
    <xf numFmtId="0" fontId="10" fillId="0" borderId="11" xfId="0" applyFont="1" applyBorder="1" applyAlignment="1">
      <alignment horizontal="center" vertical="center"/>
    </xf>
    <xf numFmtId="0" fontId="6" fillId="0" borderId="11" xfId="0" applyFont="1" applyBorder="1" applyAlignment="1">
      <alignment horizontal="center" vertical="center"/>
    </xf>
    <xf numFmtId="0" fontId="10" fillId="0" borderId="12" xfId="0" applyFont="1" applyBorder="1" applyAlignment="1">
      <alignment horizontal="center" vertical="center"/>
    </xf>
    <xf numFmtId="0" fontId="6" fillId="0" borderId="7" xfId="0" applyFont="1" applyBorder="1" applyAlignment="1">
      <alignment vertical="center"/>
    </xf>
    <xf numFmtId="0" fontId="6" fillId="0" borderId="0" xfId="0" applyFont="1" applyAlignment="1">
      <alignment vertical="center"/>
    </xf>
    <xf numFmtId="0" fontId="10" fillId="0" borderId="4" xfId="0" applyFont="1" applyBorder="1" applyAlignment="1">
      <alignment horizontal="center" vertical="center"/>
    </xf>
    <xf numFmtId="0" fontId="6" fillId="0" borderId="0" xfId="0" applyFont="1" applyAlignment="1">
      <alignment vertical="center" wrapText="1"/>
    </xf>
    <xf numFmtId="0" fontId="6" fillId="0" borderId="4" xfId="0" applyFont="1" applyBorder="1" applyAlignment="1">
      <alignment vertical="center" wrapText="1"/>
    </xf>
    <xf numFmtId="49" fontId="6" fillId="0" borderId="0" xfId="0" applyNumberFormat="1" applyFont="1"/>
    <xf numFmtId="0" fontId="11" fillId="0" borderId="1" xfId="0" applyFont="1" applyBorder="1" applyAlignment="1">
      <alignment vertical="center"/>
    </xf>
    <xf numFmtId="0" fontId="9" fillId="0" borderId="0" xfId="0" applyFont="1" applyAlignment="1">
      <alignment vertical="center"/>
    </xf>
    <xf numFmtId="14" fontId="10" fillId="0" borderId="7" xfId="0" applyNumberFormat="1" applyFont="1" applyBorder="1" applyAlignment="1">
      <alignment horizontal="left" vertical="center"/>
    </xf>
    <xf numFmtId="0" fontId="6" fillId="2" borderId="1" xfId="0" applyFont="1" applyFill="1" applyBorder="1" applyAlignment="1">
      <alignment horizontal="center" vertical="center"/>
    </xf>
    <xf numFmtId="0" fontId="6" fillId="0" borderId="3" xfId="0" applyFont="1" applyBorder="1"/>
    <xf numFmtId="0" fontId="6" fillId="0" borderId="3" xfId="0" applyFont="1" applyBorder="1" applyAlignment="1">
      <alignment horizontal="center" vertical="center"/>
    </xf>
    <xf numFmtId="10" fontId="6" fillId="0" borderId="3" xfId="0" applyNumberFormat="1" applyFont="1" applyBorder="1" applyAlignment="1">
      <alignment horizontal="center" vertical="center"/>
    </xf>
    <xf numFmtId="164" fontId="6" fillId="0" borderId="3" xfId="0" applyNumberFormat="1" applyFont="1" applyBorder="1" applyAlignment="1">
      <alignment horizontal="center" vertical="center"/>
    </xf>
    <xf numFmtId="2" fontId="6" fillId="0" borderId="3" xfId="0" applyNumberFormat="1" applyFont="1" applyBorder="1" applyAlignment="1">
      <alignment horizontal="center" vertical="center"/>
    </xf>
    <xf numFmtId="0" fontId="6" fillId="0" borderId="12" xfId="0" applyFont="1" applyBorder="1"/>
    <xf numFmtId="0" fontId="2" fillId="2" borderId="1" xfId="0" applyFont="1" applyFill="1" applyBorder="1" applyAlignment="1">
      <alignment horizontal="center" vertical="center" wrapText="1"/>
    </xf>
    <xf numFmtId="0" fontId="2" fillId="2" borderId="7" xfId="0" applyFont="1" applyFill="1" applyBorder="1" applyAlignment="1">
      <alignment horizontal="center" vertical="center" wrapText="1"/>
    </xf>
    <xf numFmtId="164" fontId="6" fillId="0" borderId="0" xfId="0" applyNumberFormat="1" applyFont="1" applyAlignment="1">
      <alignment horizontal="center" vertical="center"/>
    </xf>
    <xf numFmtId="2" fontId="6" fillId="0" borderId="0" xfId="0" applyNumberFormat="1" applyFont="1" applyAlignment="1">
      <alignment horizontal="center" vertical="center"/>
    </xf>
    <xf numFmtId="164" fontId="5" fillId="0" borderId="0" xfId="0" applyNumberFormat="1" applyFont="1" applyAlignment="1">
      <alignment horizontal="center" vertical="center"/>
    </xf>
    <xf numFmtId="164" fontId="6" fillId="0" borderId="4" xfId="0" applyNumberFormat="1" applyFont="1" applyBorder="1" applyAlignment="1">
      <alignment horizontal="center" vertical="center"/>
    </xf>
    <xf numFmtId="0" fontId="0" fillId="0" borderId="0" xfId="0" applyAlignment="1">
      <alignment horizontal="left" vertical="center" wrapText="1"/>
    </xf>
    <xf numFmtId="0" fontId="0" fillId="0" borderId="7" xfId="0" applyBorder="1" applyAlignment="1">
      <alignment horizontal="left" vertical="center" wrapText="1"/>
    </xf>
    <xf numFmtId="0" fontId="12" fillId="0" borderId="1" xfId="1" applyBorder="1" applyAlignment="1">
      <alignment vertical="center"/>
    </xf>
    <xf numFmtId="0" fontId="12" fillId="0" borderId="1" xfId="1" applyBorder="1" applyAlignment="1">
      <alignment horizontal="center" vertical="center"/>
    </xf>
    <xf numFmtId="0" fontId="2" fillId="2" borderId="9" xfId="0" applyFont="1" applyFill="1" applyBorder="1" applyAlignment="1">
      <alignment horizontal="center" vertical="center"/>
    </xf>
    <xf numFmtId="10" fontId="0" fillId="0" borderId="13"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2" fillId="2" borderId="1" xfId="0" applyFont="1" applyFill="1" applyBorder="1" applyAlignment="1">
      <alignment horizontal="left"/>
    </xf>
    <xf numFmtId="0" fontId="4" fillId="0" borderId="0" xfId="0" applyFont="1" applyAlignment="1">
      <alignment vertical="center" wrapText="1"/>
    </xf>
    <xf numFmtId="0" fontId="13" fillId="0" borderId="0" xfId="1" applyFont="1" applyAlignment="1">
      <alignment wrapText="1"/>
    </xf>
    <xf numFmtId="0" fontId="2" fillId="2" borderId="7" xfId="0" applyFont="1" applyFill="1" applyBorder="1" applyAlignment="1">
      <alignment horizontal="center" vertical="center"/>
    </xf>
    <xf numFmtId="164" fontId="6" fillId="0" borderId="7" xfId="0" applyNumberFormat="1" applyFont="1" applyBorder="1" applyAlignment="1">
      <alignment horizontal="center" vertical="center"/>
    </xf>
    <xf numFmtId="164" fontId="6" fillId="0" borderId="15" xfId="0" applyNumberFormat="1" applyFont="1" applyBorder="1" applyAlignment="1">
      <alignment horizontal="center" vertical="center"/>
    </xf>
    <xf numFmtId="0" fontId="0" fillId="0" borderId="7" xfId="0" applyBorder="1" applyAlignment="1">
      <alignment horizontal="center" vertical="center"/>
    </xf>
    <xf numFmtId="0" fontId="0" fillId="0" borderId="15" xfId="0" applyBorder="1" applyAlignment="1">
      <alignment horizontal="center" vertical="center"/>
    </xf>
    <xf numFmtId="0" fontId="2" fillId="2" borderId="0" xfId="0" applyFont="1" applyFill="1" applyAlignment="1">
      <alignment horizontal="center" vertical="center"/>
    </xf>
    <xf numFmtId="0" fontId="14" fillId="0" borderId="0" xfId="0" applyFont="1" applyAlignment="1">
      <alignment horizontal="center" vertical="center"/>
    </xf>
    <xf numFmtId="0" fontId="4" fillId="0" borderId="1" xfId="0" applyFont="1" applyBorder="1" applyAlignment="1">
      <alignment horizontal="left" vertical="center"/>
    </xf>
    <xf numFmtId="0" fontId="2" fillId="0" borderId="1" xfId="0" applyFont="1" applyBorder="1" applyAlignment="1">
      <alignment horizontal="left" vertical="center"/>
    </xf>
    <xf numFmtId="0" fontId="2" fillId="2" borderId="0" xfId="0" applyFont="1" applyFill="1" applyAlignment="1">
      <alignment horizontal="left" vertical="center"/>
    </xf>
    <xf numFmtId="0" fontId="4" fillId="0" borderId="0" xfId="0" applyFont="1" applyAlignment="1">
      <alignment horizontal="left" vertical="center"/>
    </xf>
    <xf numFmtId="0" fontId="4" fillId="0" borderId="6" xfId="0" applyFont="1" applyBorder="1" applyAlignment="1">
      <alignment horizontal="left"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11" fillId="0" borderId="11"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localhost:8081/aimanager/DocumentAnalysisServ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hyperlink" Target="http://localhost:8081/aimanager/DocumentAnalysisServic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hp-my.sharepoint.com/:f:/p/shray_saxena1/IgCuTVyKq733SKiXJ8ag15NOAenCr5R-VjjOj0FBskm7LB0?email=anuja.manoj.jain%40hp.com&amp;e=hRYeyZ"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hp-jira.external.hp.com/browse/IQSW-65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567CA-5CE2-4976-A543-B2080E71F08F}">
  <dimension ref="A1:R181"/>
  <sheetViews>
    <sheetView zoomScale="80" zoomScaleNormal="80" workbookViewId="0">
      <selection sqref="A1:XFD1048576"/>
    </sheetView>
  </sheetViews>
  <sheetFormatPr defaultColWidth="8.85546875" defaultRowHeight="14.45"/>
  <cols>
    <col min="1" max="1" width="16.5703125" style="66" customWidth="1"/>
    <col min="2" max="2" width="11" style="10" customWidth="1"/>
    <col min="3" max="3" width="28.42578125" style="5" customWidth="1"/>
    <col min="4" max="4" width="16.42578125" style="10" customWidth="1"/>
    <col min="5" max="5" width="19" style="10" customWidth="1"/>
    <col min="6" max="6" width="27.5703125" style="10" customWidth="1"/>
    <col min="7" max="7" width="8.5703125" style="10" bestFit="1" customWidth="1"/>
    <col min="8" max="8" width="7.5703125" style="10" bestFit="1" customWidth="1"/>
    <col min="9" max="9" width="13.5703125" style="10" bestFit="1" customWidth="1"/>
    <col min="10" max="10" width="15.42578125" style="10" customWidth="1"/>
    <col min="11" max="11" width="9.140625" style="10" bestFit="1" customWidth="1"/>
    <col min="12" max="12" width="10.42578125" style="10" bestFit="1" customWidth="1"/>
    <col min="13" max="13" width="9.5703125" style="10" bestFit="1" customWidth="1"/>
    <col min="14" max="14" width="16.5703125" style="5" customWidth="1"/>
    <col min="15" max="15" width="7.42578125" style="10" bestFit="1" customWidth="1"/>
    <col min="16" max="16" width="8.42578125" style="10" bestFit="1" customWidth="1"/>
    <col min="17" max="17" width="7.85546875" style="10" bestFit="1" customWidth="1"/>
    <col min="18" max="18" width="26.5703125" style="10" customWidth="1"/>
    <col min="19" max="16384" width="8.85546875" style="5"/>
  </cols>
  <sheetData>
    <row r="1" spans="1:18" s="15" customFormat="1">
      <c r="A1" s="170" t="s">
        <v>0</v>
      </c>
      <c r="B1" s="170"/>
      <c r="C1" s="7" t="s">
        <v>1</v>
      </c>
      <c r="D1" s="9"/>
      <c r="E1" s="9"/>
      <c r="F1" s="9"/>
      <c r="G1" s="9"/>
      <c r="H1" s="9"/>
      <c r="I1" s="9"/>
      <c r="J1" s="9"/>
      <c r="K1" s="9"/>
      <c r="L1" s="9"/>
      <c r="M1" s="9"/>
      <c r="O1" s="9"/>
      <c r="P1" s="9"/>
      <c r="Q1" s="9"/>
      <c r="R1" s="9"/>
    </row>
    <row r="2" spans="1:18" s="15" customFormat="1" ht="12">
      <c r="A2" s="171" t="s">
        <v>2</v>
      </c>
      <c r="B2" s="171"/>
      <c r="C2" s="15" t="s">
        <v>3</v>
      </c>
      <c r="D2" s="9"/>
      <c r="E2" s="9"/>
      <c r="F2" s="9"/>
      <c r="G2" s="9"/>
      <c r="H2" s="9"/>
      <c r="I2" s="9"/>
      <c r="J2" s="9"/>
      <c r="K2" s="9"/>
      <c r="L2" s="9"/>
      <c r="M2" s="9"/>
      <c r="O2" s="9"/>
      <c r="P2" s="9"/>
      <c r="Q2" s="9"/>
      <c r="R2" s="9"/>
    </row>
    <row r="3" spans="1:18" s="15" customFormat="1" ht="12">
      <c r="A3" s="174"/>
      <c r="B3" s="174"/>
      <c r="C3" s="15" t="s">
        <v>4</v>
      </c>
      <c r="D3" s="9"/>
      <c r="E3" s="9"/>
      <c r="F3" s="9"/>
      <c r="G3" s="9"/>
      <c r="H3" s="9"/>
      <c r="I3" s="9"/>
      <c r="J3" s="9"/>
      <c r="K3" s="9"/>
      <c r="L3" s="9"/>
      <c r="M3" s="9"/>
      <c r="O3" s="9"/>
      <c r="P3" s="9"/>
      <c r="Q3" s="9"/>
      <c r="R3" s="9"/>
    </row>
    <row r="4" spans="1:18" s="15" customFormat="1" ht="12">
      <c r="A4" s="171" t="s">
        <v>5</v>
      </c>
      <c r="B4" s="171"/>
      <c r="C4" s="15" t="s">
        <v>6</v>
      </c>
      <c r="D4" s="9"/>
      <c r="E4" s="9"/>
      <c r="F4" s="9"/>
      <c r="G4" s="9"/>
      <c r="H4" s="9"/>
      <c r="I4" s="9"/>
      <c r="J4" s="9"/>
      <c r="K4" s="9"/>
      <c r="L4" s="9"/>
      <c r="M4" s="9"/>
      <c r="O4" s="9"/>
      <c r="P4" s="9"/>
      <c r="Q4" s="9"/>
      <c r="R4" s="9"/>
    </row>
    <row r="5" spans="1:18" s="15" customFormat="1" ht="12">
      <c r="A5" s="171" t="s">
        <v>7</v>
      </c>
      <c r="B5" s="171"/>
      <c r="C5" s="15" t="s">
        <v>8</v>
      </c>
      <c r="D5" s="9"/>
      <c r="E5" s="9"/>
      <c r="F5" s="9"/>
      <c r="G5" s="9"/>
      <c r="H5" s="9"/>
      <c r="I5" s="9"/>
      <c r="J5" s="9"/>
      <c r="K5" s="9"/>
      <c r="L5" s="9"/>
      <c r="M5" s="9"/>
      <c r="O5" s="9"/>
      <c r="P5" s="9"/>
      <c r="Q5" s="9"/>
      <c r="R5" s="9"/>
    </row>
    <row r="6" spans="1:18" s="15" customFormat="1" ht="12.6" thickBot="1">
      <c r="A6" s="172" t="s">
        <v>9</v>
      </c>
      <c r="B6" s="172"/>
      <c r="C6" s="17" t="s">
        <v>10</v>
      </c>
      <c r="D6" s="18"/>
      <c r="E6" s="18"/>
      <c r="F6" s="18"/>
      <c r="G6" s="18"/>
      <c r="H6" s="18"/>
      <c r="I6" s="18"/>
      <c r="J6" s="18"/>
      <c r="K6" s="18"/>
      <c r="L6" s="18"/>
      <c r="M6" s="18"/>
      <c r="N6" s="17"/>
      <c r="O6" s="18"/>
      <c r="P6" s="18"/>
      <c r="Q6" s="18"/>
      <c r="R6" s="18"/>
    </row>
    <row r="7" spans="1:18" s="15" customFormat="1" ht="12">
      <c r="A7" s="173"/>
      <c r="B7" s="173"/>
      <c r="D7" s="9"/>
      <c r="E7" s="9"/>
      <c r="F7" s="9"/>
      <c r="G7" s="9"/>
      <c r="H7" s="9"/>
      <c r="I7" s="9"/>
      <c r="J7" s="9"/>
      <c r="K7" s="9"/>
      <c r="L7" s="9"/>
      <c r="M7" s="9"/>
      <c r="O7" s="9"/>
      <c r="P7" s="9"/>
      <c r="Q7" s="9"/>
      <c r="R7" s="9"/>
    </row>
    <row r="8" spans="1:18" s="15" customFormat="1">
      <c r="A8" s="169" t="s">
        <v>11</v>
      </c>
      <c r="B8" s="169"/>
      <c r="C8" s="22" t="s">
        <v>12</v>
      </c>
      <c r="D8" s="24"/>
      <c r="E8" s="9"/>
      <c r="F8" s="9"/>
      <c r="G8" s="9"/>
      <c r="H8" s="9"/>
      <c r="I8" s="9"/>
      <c r="J8" s="9"/>
      <c r="K8" s="9"/>
      <c r="L8" s="9"/>
      <c r="M8" s="9"/>
      <c r="O8" s="9"/>
      <c r="P8" s="9"/>
      <c r="Q8" s="9"/>
      <c r="R8" s="9"/>
    </row>
    <row r="9" spans="1:18" s="15" customFormat="1" ht="12">
      <c r="A9" s="168" t="s">
        <v>13</v>
      </c>
      <c r="B9" s="168"/>
      <c r="C9" s="58" t="s">
        <v>14</v>
      </c>
      <c r="D9" s="24"/>
      <c r="E9" s="9"/>
      <c r="F9" s="9"/>
      <c r="G9" s="9"/>
      <c r="H9" s="9"/>
      <c r="I9" s="9"/>
      <c r="J9" s="9"/>
      <c r="K9" s="9"/>
      <c r="L9" s="9"/>
      <c r="M9" s="9"/>
      <c r="O9" s="9"/>
      <c r="P9" s="9"/>
      <c r="Q9" s="9"/>
      <c r="R9" s="9"/>
    </row>
    <row r="10" spans="1:18" s="15" customFormat="1" ht="12">
      <c r="A10" s="51"/>
      <c r="B10" s="51"/>
      <c r="D10" s="9"/>
      <c r="E10" s="9"/>
      <c r="F10" s="9"/>
      <c r="G10" s="9"/>
      <c r="H10" s="9"/>
      <c r="I10" s="9"/>
      <c r="J10" s="9"/>
      <c r="K10" s="9"/>
      <c r="L10" s="9"/>
      <c r="M10" s="9"/>
      <c r="O10" s="9"/>
      <c r="P10" s="9"/>
      <c r="Q10" s="9"/>
      <c r="R10" s="9"/>
    </row>
    <row r="11" spans="1:18" s="49" customFormat="1">
      <c r="A11" s="59" t="s">
        <v>15</v>
      </c>
      <c r="B11" s="31" t="s">
        <v>16</v>
      </c>
      <c r="C11" s="60" t="s">
        <v>17</v>
      </c>
      <c r="D11" s="31" t="s">
        <v>18</v>
      </c>
      <c r="E11" s="31" t="s">
        <v>19</v>
      </c>
      <c r="F11" s="31" t="s">
        <v>20</v>
      </c>
      <c r="G11" s="31" t="s">
        <v>21</v>
      </c>
      <c r="H11" s="31" t="s">
        <v>22</v>
      </c>
      <c r="I11" s="31" t="s">
        <v>23</v>
      </c>
      <c r="J11" s="31" t="s">
        <v>24</v>
      </c>
      <c r="K11" s="31" t="s">
        <v>25</v>
      </c>
      <c r="L11" s="31" t="s">
        <v>26</v>
      </c>
      <c r="M11" s="31" t="s">
        <v>27</v>
      </c>
      <c r="N11" s="31" t="s">
        <v>28</v>
      </c>
      <c r="O11" s="31" t="s">
        <v>29</v>
      </c>
      <c r="P11" s="31" t="s">
        <v>30</v>
      </c>
      <c r="Q11" s="31" t="s">
        <v>31</v>
      </c>
      <c r="R11" s="31" t="s">
        <v>32</v>
      </c>
    </row>
    <row r="12" spans="1:18">
      <c r="A12" s="61">
        <v>1776150107234</v>
      </c>
      <c r="B12" s="34">
        <v>1436</v>
      </c>
      <c r="C12" s="6" t="s">
        <v>33</v>
      </c>
      <c r="D12" s="34">
        <v>200</v>
      </c>
      <c r="E12" s="34" t="s">
        <v>34</v>
      </c>
      <c r="F12" s="34" t="s">
        <v>35</v>
      </c>
      <c r="G12" s="34" t="s">
        <v>36</v>
      </c>
      <c r="H12" s="34" t="b">
        <v>1</v>
      </c>
      <c r="I12" s="34"/>
      <c r="J12" s="34">
        <v>206</v>
      </c>
      <c r="K12" s="34">
        <v>452</v>
      </c>
      <c r="L12" s="34">
        <v>1</v>
      </c>
      <c r="M12" s="34">
        <v>1</v>
      </c>
      <c r="N12" s="6" t="s">
        <v>37</v>
      </c>
      <c r="O12" s="34">
        <v>1436</v>
      </c>
      <c r="P12" s="34">
        <v>0</v>
      </c>
      <c r="Q12" s="34">
        <v>3</v>
      </c>
      <c r="R12" s="61"/>
    </row>
    <row r="13" spans="1:18">
      <c r="A13" s="61">
        <v>1776150108670</v>
      </c>
      <c r="B13" s="34">
        <v>32</v>
      </c>
      <c r="C13" s="6" t="s">
        <v>38</v>
      </c>
      <c r="D13" s="34">
        <v>200</v>
      </c>
      <c r="E13" s="34" t="s">
        <v>34</v>
      </c>
      <c r="F13" s="34" t="s">
        <v>35</v>
      </c>
      <c r="G13" s="34" t="s">
        <v>36</v>
      </c>
      <c r="H13" s="34" t="b">
        <v>1</v>
      </c>
      <c r="I13" s="34"/>
      <c r="J13" s="34">
        <v>1851</v>
      </c>
      <c r="K13" s="34">
        <v>343</v>
      </c>
      <c r="L13" s="34">
        <v>1</v>
      </c>
      <c r="M13" s="34">
        <v>1</v>
      </c>
      <c r="N13" s="6" t="s">
        <v>37</v>
      </c>
      <c r="O13" s="34">
        <v>32</v>
      </c>
      <c r="P13" s="34">
        <v>0</v>
      </c>
      <c r="Q13" s="34">
        <v>0</v>
      </c>
      <c r="R13" s="61"/>
    </row>
    <row r="14" spans="1:18">
      <c r="A14" s="61">
        <v>1776150108703</v>
      </c>
      <c r="B14" s="34">
        <v>18</v>
      </c>
      <c r="C14" s="6" t="s">
        <v>39</v>
      </c>
      <c r="D14" s="34">
        <v>200</v>
      </c>
      <c r="E14" s="34" t="s">
        <v>34</v>
      </c>
      <c r="F14" s="34" t="s">
        <v>35</v>
      </c>
      <c r="G14" s="34" t="s">
        <v>36</v>
      </c>
      <c r="H14" s="34" t="b">
        <v>1</v>
      </c>
      <c r="I14" s="34"/>
      <c r="J14" s="34">
        <v>216</v>
      </c>
      <c r="K14" s="34">
        <v>385</v>
      </c>
      <c r="L14" s="34">
        <v>1</v>
      </c>
      <c r="M14" s="34">
        <v>1</v>
      </c>
      <c r="N14" s="6" t="s">
        <v>37</v>
      </c>
      <c r="O14" s="34">
        <v>18</v>
      </c>
      <c r="P14" s="34">
        <v>0</v>
      </c>
      <c r="Q14" s="34">
        <v>0</v>
      </c>
      <c r="R14" s="61"/>
    </row>
    <row r="15" spans="1:18" ht="15" thickBot="1">
      <c r="A15" s="62">
        <v>1776150108722</v>
      </c>
      <c r="B15" s="39">
        <v>22</v>
      </c>
      <c r="C15" s="63" t="s">
        <v>40</v>
      </c>
      <c r="D15" s="39">
        <v>200</v>
      </c>
      <c r="E15" s="39" t="s">
        <v>34</v>
      </c>
      <c r="F15" s="39" t="s">
        <v>35</v>
      </c>
      <c r="G15" s="39" t="s">
        <v>36</v>
      </c>
      <c r="H15" s="39" t="b">
        <v>1</v>
      </c>
      <c r="I15" s="39"/>
      <c r="J15" s="39">
        <v>325</v>
      </c>
      <c r="K15" s="39">
        <v>368</v>
      </c>
      <c r="L15" s="39">
        <v>1</v>
      </c>
      <c r="M15" s="39">
        <v>1</v>
      </c>
      <c r="N15" s="63" t="s">
        <v>37</v>
      </c>
      <c r="O15" s="39">
        <v>22</v>
      </c>
      <c r="P15" s="39">
        <v>0</v>
      </c>
      <c r="Q15" s="39">
        <v>0</v>
      </c>
      <c r="R15" s="62"/>
    </row>
    <row r="17" spans="1:18" s="15" customFormat="1">
      <c r="A17" s="169" t="s">
        <v>41</v>
      </c>
      <c r="B17" s="169"/>
      <c r="C17" s="22" t="s">
        <v>42</v>
      </c>
      <c r="D17" s="24"/>
      <c r="E17" s="9"/>
      <c r="F17" s="9"/>
      <c r="G17" s="9"/>
      <c r="H17" s="9"/>
      <c r="I17" s="9"/>
      <c r="J17" s="9"/>
      <c r="K17" s="9"/>
      <c r="L17" s="9"/>
      <c r="M17" s="9"/>
      <c r="O17" s="9"/>
      <c r="P17" s="9"/>
      <c r="Q17" s="9"/>
      <c r="R17" s="9"/>
    </row>
    <row r="18" spans="1:18" s="15" customFormat="1" ht="12">
      <c r="A18" s="168" t="s">
        <v>13</v>
      </c>
      <c r="B18" s="168"/>
      <c r="C18" s="27" t="s">
        <v>14</v>
      </c>
      <c r="D18" s="24"/>
      <c r="E18" s="9"/>
      <c r="F18" s="9"/>
      <c r="G18" s="9"/>
      <c r="H18" s="9"/>
      <c r="I18" s="9"/>
      <c r="J18" s="9"/>
      <c r="K18" s="9"/>
      <c r="L18" s="9"/>
      <c r="M18" s="9"/>
      <c r="O18" s="9"/>
      <c r="P18" s="9"/>
      <c r="Q18" s="9"/>
      <c r="R18" s="9"/>
    </row>
    <row r="19" spans="1:18" s="15" customFormat="1" ht="12">
      <c r="A19" s="51"/>
      <c r="B19" s="51"/>
      <c r="D19" s="9"/>
      <c r="E19" s="9"/>
      <c r="F19" s="9"/>
      <c r="G19" s="9"/>
      <c r="H19" s="9"/>
      <c r="I19" s="9"/>
      <c r="J19" s="9"/>
      <c r="K19" s="9"/>
      <c r="L19" s="9"/>
      <c r="M19" s="9"/>
      <c r="O19" s="9"/>
      <c r="P19" s="9"/>
      <c r="Q19" s="9"/>
      <c r="R19" s="9"/>
    </row>
    <row r="20" spans="1:18" s="49" customFormat="1">
      <c r="A20" s="59" t="s">
        <v>15</v>
      </c>
      <c r="B20" s="31" t="s">
        <v>16</v>
      </c>
      <c r="C20" s="60" t="s">
        <v>17</v>
      </c>
      <c r="D20" s="31" t="s">
        <v>18</v>
      </c>
      <c r="E20" s="31" t="s">
        <v>19</v>
      </c>
      <c r="F20" s="31" t="s">
        <v>20</v>
      </c>
      <c r="G20" s="31" t="s">
        <v>21</v>
      </c>
      <c r="H20" s="31" t="s">
        <v>22</v>
      </c>
      <c r="I20" s="31" t="s">
        <v>23</v>
      </c>
      <c r="J20" s="31" t="s">
        <v>24</v>
      </c>
      <c r="K20" s="31" t="s">
        <v>25</v>
      </c>
      <c r="L20" s="31" t="s">
        <v>26</v>
      </c>
      <c r="M20" s="31" t="s">
        <v>27</v>
      </c>
      <c r="N20" s="31" t="s">
        <v>28</v>
      </c>
      <c r="O20" s="31" t="s">
        <v>29</v>
      </c>
      <c r="P20" s="31" t="s">
        <v>30</v>
      </c>
      <c r="Q20" s="31" t="s">
        <v>31</v>
      </c>
      <c r="R20" s="31" t="s">
        <v>32</v>
      </c>
    </row>
    <row r="21" spans="1:18">
      <c r="A21" s="61">
        <v>1776152534897</v>
      </c>
      <c r="B21" s="34">
        <v>2809</v>
      </c>
      <c r="C21" s="6" t="s">
        <v>33</v>
      </c>
      <c r="D21" s="34">
        <v>200</v>
      </c>
      <c r="E21" s="34" t="s">
        <v>34</v>
      </c>
      <c r="F21" s="34" t="s">
        <v>35</v>
      </c>
      <c r="G21" s="34" t="s">
        <v>36</v>
      </c>
      <c r="H21" s="34" t="b">
        <v>1</v>
      </c>
      <c r="I21" s="34"/>
      <c r="J21" s="34">
        <v>206</v>
      </c>
      <c r="K21" s="34">
        <v>453</v>
      </c>
      <c r="L21" s="34">
        <v>1</v>
      </c>
      <c r="M21" s="34">
        <v>1</v>
      </c>
      <c r="N21" s="152" t="s">
        <v>37</v>
      </c>
      <c r="O21" s="34">
        <v>2809</v>
      </c>
      <c r="P21" s="34">
        <v>0</v>
      </c>
      <c r="Q21" s="34">
        <v>2</v>
      </c>
      <c r="R21" s="61"/>
    </row>
    <row r="22" spans="1:18">
      <c r="A22" s="61">
        <v>1776152537707</v>
      </c>
      <c r="B22" s="34">
        <v>27</v>
      </c>
      <c r="C22" s="6" t="s">
        <v>38</v>
      </c>
      <c r="D22" s="34">
        <v>200</v>
      </c>
      <c r="E22" s="34" t="s">
        <v>34</v>
      </c>
      <c r="F22" s="34" t="s">
        <v>35</v>
      </c>
      <c r="G22" s="34" t="s">
        <v>36</v>
      </c>
      <c r="H22" s="34" t="b">
        <v>1</v>
      </c>
      <c r="I22" s="34"/>
      <c r="J22" s="34">
        <v>2269</v>
      </c>
      <c r="K22" s="34">
        <v>343</v>
      </c>
      <c r="L22" s="34">
        <v>1</v>
      </c>
      <c r="M22" s="34">
        <v>1</v>
      </c>
      <c r="N22" s="6" t="s">
        <v>37</v>
      </c>
      <c r="O22" s="34">
        <v>27</v>
      </c>
      <c r="P22" s="34">
        <v>0</v>
      </c>
      <c r="Q22" s="34">
        <v>0</v>
      </c>
      <c r="R22" s="61"/>
    </row>
    <row r="23" spans="1:18">
      <c r="A23" s="61">
        <v>1776152537735</v>
      </c>
      <c r="B23" s="34">
        <v>22</v>
      </c>
      <c r="C23" s="6" t="s">
        <v>39</v>
      </c>
      <c r="D23" s="34">
        <v>200</v>
      </c>
      <c r="E23" s="34" t="s">
        <v>34</v>
      </c>
      <c r="F23" s="34" t="s">
        <v>35</v>
      </c>
      <c r="G23" s="34" t="s">
        <v>36</v>
      </c>
      <c r="H23" s="34" t="b">
        <v>1</v>
      </c>
      <c r="I23" s="34"/>
      <c r="J23" s="34">
        <v>216</v>
      </c>
      <c r="K23" s="34">
        <v>385</v>
      </c>
      <c r="L23" s="34">
        <v>1</v>
      </c>
      <c r="M23" s="34">
        <v>1</v>
      </c>
      <c r="N23" s="6" t="s">
        <v>37</v>
      </c>
      <c r="O23" s="34">
        <v>22</v>
      </c>
      <c r="P23" s="34">
        <v>0</v>
      </c>
      <c r="Q23" s="34">
        <v>0</v>
      </c>
      <c r="R23" s="61"/>
    </row>
    <row r="24" spans="1:18">
      <c r="A24" s="61">
        <v>1776152537757</v>
      </c>
      <c r="B24" s="34">
        <v>17</v>
      </c>
      <c r="C24" s="6" t="s">
        <v>40</v>
      </c>
      <c r="D24" s="34">
        <v>200</v>
      </c>
      <c r="E24" s="34" t="s">
        <v>34</v>
      </c>
      <c r="F24" s="34" t="s">
        <v>35</v>
      </c>
      <c r="G24" s="34" t="s">
        <v>36</v>
      </c>
      <c r="H24" s="34" t="b">
        <v>1</v>
      </c>
      <c r="I24" s="34"/>
      <c r="J24" s="34">
        <v>325</v>
      </c>
      <c r="K24" s="34">
        <v>368</v>
      </c>
      <c r="L24" s="34">
        <v>1</v>
      </c>
      <c r="M24" s="34">
        <v>1</v>
      </c>
      <c r="N24" s="6" t="s">
        <v>37</v>
      </c>
      <c r="O24" s="34">
        <v>17</v>
      </c>
      <c r="P24" s="34">
        <v>0</v>
      </c>
      <c r="Q24" s="34">
        <v>0</v>
      </c>
      <c r="R24" s="61"/>
    </row>
    <row r="26" spans="1:18">
      <c r="A26" s="169" t="s">
        <v>43</v>
      </c>
      <c r="B26" s="169"/>
      <c r="C26" s="22" t="s">
        <v>44</v>
      </c>
      <c r="D26" s="24"/>
      <c r="E26" s="9"/>
      <c r="F26" s="9"/>
      <c r="G26" s="9"/>
      <c r="H26" s="9"/>
      <c r="I26" s="9"/>
      <c r="J26" s="9"/>
      <c r="K26" s="9"/>
      <c r="L26" s="9"/>
      <c r="M26" s="9"/>
      <c r="N26" s="15"/>
      <c r="O26" s="9"/>
      <c r="P26" s="9"/>
      <c r="Q26" s="9"/>
      <c r="R26" s="9"/>
    </row>
    <row r="27" spans="1:18">
      <c r="A27" s="168" t="s">
        <v>13</v>
      </c>
      <c r="B27" s="168"/>
      <c r="C27" s="58" t="s">
        <v>45</v>
      </c>
      <c r="D27" s="24"/>
      <c r="E27" s="9"/>
      <c r="F27" s="9"/>
      <c r="G27" s="9"/>
      <c r="H27" s="9"/>
      <c r="I27" s="9"/>
      <c r="J27" s="9"/>
      <c r="K27" s="9"/>
      <c r="L27" s="9"/>
      <c r="M27" s="9"/>
      <c r="N27" s="15"/>
      <c r="O27" s="9"/>
      <c r="P27" s="9"/>
      <c r="Q27" s="9"/>
      <c r="R27" s="9"/>
    </row>
    <row r="28" spans="1:18">
      <c r="A28" s="64"/>
      <c r="B28" s="64"/>
      <c r="D28" s="9"/>
      <c r="E28" s="9"/>
      <c r="F28" s="9"/>
      <c r="G28" s="9"/>
      <c r="H28" s="9"/>
      <c r="I28" s="9"/>
      <c r="J28" s="9"/>
      <c r="K28" s="9"/>
      <c r="L28" s="9"/>
      <c r="M28" s="9"/>
      <c r="N28" s="15"/>
      <c r="O28" s="9"/>
      <c r="P28" s="9"/>
      <c r="Q28" s="9"/>
      <c r="R28" s="9"/>
    </row>
    <row r="29" spans="1:18">
      <c r="A29" s="59" t="s">
        <v>15</v>
      </c>
      <c r="B29" s="31" t="s">
        <v>16</v>
      </c>
      <c r="C29" s="60" t="s">
        <v>17</v>
      </c>
      <c r="D29" s="31" t="s">
        <v>18</v>
      </c>
      <c r="E29" s="31" t="s">
        <v>19</v>
      </c>
      <c r="F29" s="31" t="s">
        <v>20</v>
      </c>
      <c r="G29" s="31" t="s">
        <v>21</v>
      </c>
      <c r="H29" s="31" t="s">
        <v>22</v>
      </c>
      <c r="I29" s="31" t="s">
        <v>23</v>
      </c>
      <c r="J29" s="31" t="s">
        <v>24</v>
      </c>
      <c r="K29" s="31" t="s">
        <v>25</v>
      </c>
      <c r="L29" s="31" t="s">
        <v>26</v>
      </c>
      <c r="M29" s="31" t="s">
        <v>27</v>
      </c>
      <c r="N29" s="31" t="s">
        <v>28</v>
      </c>
      <c r="O29" s="31" t="s">
        <v>29</v>
      </c>
      <c r="P29" s="31" t="s">
        <v>30</v>
      </c>
      <c r="Q29" s="31" t="s">
        <v>31</v>
      </c>
      <c r="R29" s="31" t="s">
        <v>32</v>
      </c>
    </row>
    <row r="30" spans="1:18">
      <c r="A30" s="61">
        <v>1776156049661</v>
      </c>
      <c r="B30" s="34">
        <v>2630</v>
      </c>
      <c r="C30" s="6" t="s">
        <v>33</v>
      </c>
      <c r="D30" s="34">
        <v>200</v>
      </c>
      <c r="E30" s="34" t="s">
        <v>34</v>
      </c>
      <c r="F30" s="34" t="s">
        <v>35</v>
      </c>
      <c r="G30" s="34" t="s">
        <v>36</v>
      </c>
      <c r="H30" s="34" t="b">
        <v>1</v>
      </c>
      <c r="I30" s="34"/>
      <c r="J30" s="34">
        <v>206</v>
      </c>
      <c r="K30" s="34">
        <v>455</v>
      </c>
      <c r="L30" s="34">
        <v>1</v>
      </c>
      <c r="M30" s="34">
        <v>1</v>
      </c>
      <c r="N30" s="6" t="s">
        <v>37</v>
      </c>
      <c r="O30" s="34">
        <v>2630</v>
      </c>
      <c r="P30" s="34">
        <v>0</v>
      </c>
      <c r="Q30" s="34">
        <v>2</v>
      </c>
      <c r="R30" s="61"/>
    </row>
    <row r="31" spans="1:18">
      <c r="A31" s="61">
        <v>1776156052292</v>
      </c>
      <c r="B31" s="34">
        <v>32</v>
      </c>
      <c r="C31" s="6" t="s">
        <v>38</v>
      </c>
      <c r="D31" s="34">
        <v>200</v>
      </c>
      <c r="E31" s="34" t="s">
        <v>34</v>
      </c>
      <c r="F31" s="34" t="s">
        <v>35</v>
      </c>
      <c r="G31" s="34" t="s">
        <v>36</v>
      </c>
      <c r="H31" s="34" t="b">
        <v>1</v>
      </c>
      <c r="I31" s="34"/>
      <c r="J31" s="34">
        <v>2692</v>
      </c>
      <c r="K31" s="34">
        <v>343</v>
      </c>
      <c r="L31" s="34">
        <v>1</v>
      </c>
      <c r="M31" s="34">
        <v>1</v>
      </c>
      <c r="N31" s="6" t="s">
        <v>37</v>
      </c>
      <c r="O31" s="34">
        <v>32</v>
      </c>
      <c r="P31" s="34">
        <v>0</v>
      </c>
      <c r="Q31" s="34">
        <v>0</v>
      </c>
      <c r="R31" s="61"/>
    </row>
    <row r="32" spans="1:18">
      <c r="A32" s="61">
        <v>1776156052324</v>
      </c>
      <c r="B32" s="34">
        <v>18</v>
      </c>
      <c r="C32" s="6" t="s">
        <v>39</v>
      </c>
      <c r="D32" s="34">
        <v>200</v>
      </c>
      <c r="E32" s="34" t="s">
        <v>34</v>
      </c>
      <c r="F32" s="34" t="s">
        <v>35</v>
      </c>
      <c r="G32" s="34" t="s">
        <v>36</v>
      </c>
      <c r="H32" s="34" t="b">
        <v>1</v>
      </c>
      <c r="I32" s="34"/>
      <c r="J32" s="34">
        <v>216</v>
      </c>
      <c r="K32" s="34">
        <v>385</v>
      </c>
      <c r="L32" s="34">
        <v>1</v>
      </c>
      <c r="M32" s="34">
        <v>1</v>
      </c>
      <c r="N32" s="6" t="s">
        <v>37</v>
      </c>
      <c r="O32" s="34">
        <v>18</v>
      </c>
      <c r="P32" s="34">
        <v>0</v>
      </c>
      <c r="Q32" s="34">
        <v>0</v>
      </c>
      <c r="R32" s="61"/>
    </row>
    <row r="33" spans="1:18" ht="15" thickBot="1">
      <c r="A33" s="62">
        <v>1776156052343</v>
      </c>
      <c r="B33" s="39">
        <v>18</v>
      </c>
      <c r="C33" s="63" t="s">
        <v>40</v>
      </c>
      <c r="D33" s="39">
        <v>200</v>
      </c>
      <c r="E33" s="39" t="s">
        <v>34</v>
      </c>
      <c r="F33" s="39" t="s">
        <v>35</v>
      </c>
      <c r="G33" s="39" t="s">
        <v>36</v>
      </c>
      <c r="H33" s="39" t="b">
        <v>1</v>
      </c>
      <c r="I33" s="39"/>
      <c r="J33" s="39">
        <v>325</v>
      </c>
      <c r="K33" s="39">
        <v>368</v>
      </c>
      <c r="L33" s="39">
        <v>1</v>
      </c>
      <c r="M33" s="39">
        <v>1</v>
      </c>
      <c r="N33" s="63" t="s">
        <v>37</v>
      </c>
      <c r="O33" s="39">
        <v>18</v>
      </c>
      <c r="P33" s="39">
        <v>0</v>
      </c>
      <c r="Q33" s="39">
        <v>0</v>
      </c>
      <c r="R33" s="62"/>
    </row>
    <row r="35" spans="1:18">
      <c r="A35" s="169" t="s">
        <v>46</v>
      </c>
      <c r="B35" s="169"/>
      <c r="C35" s="22" t="s">
        <v>47</v>
      </c>
      <c r="D35" s="24"/>
      <c r="E35" s="9"/>
      <c r="F35" s="9"/>
      <c r="G35" s="9"/>
      <c r="H35" s="9"/>
      <c r="I35" s="9"/>
      <c r="J35" s="9"/>
      <c r="K35" s="9"/>
      <c r="L35" s="9"/>
      <c r="M35" s="9"/>
      <c r="N35" s="15"/>
      <c r="O35" s="9"/>
      <c r="P35" s="9"/>
      <c r="Q35" s="9"/>
      <c r="R35" s="9"/>
    </row>
    <row r="36" spans="1:18">
      <c r="A36" s="168" t="s">
        <v>13</v>
      </c>
      <c r="B36" s="168"/>
      <c r="C36" s="58" t="s">
        <v>48</v>
      </c>
      <c r="D36" s="24"/>
      <c r="E36" s="9"/>
      <c r="F36" s="9"/>
      <c r="G36" s="9"/>
      <c r="H36" s="9"/>
      <c r="I36" s="9"/>
      <c r="J36" s="9"/>
      <c r="K36" s="9"/>
      <c r="L36" s="9"/>
      <c r="M36" s="9"/>
      <c r="N36" s="15"/>
      <c r="O36" s="9"/>
      <c r="P36" s="9"/>
      <c r="Q36" s="9"/>
      <c r="R36" s="9"/>
    </row>
    <row r="37" spans="1:18">
      <c r="A37" s="64"/>
      <c r="B37" s="64"/>
      <c r="D37" s="9"/>
      <c r="E37" s="9"/>
      <c r="F37" s="9"/>
      <c r="G37" s="9"/>
      <c r="H37" s="9"/>
      <c r="I37" s="9"/>
      <c r="J37" s="9"/>
      <c r="K37" s="9"/>
      <c r="L37" s="9"/>
      <c r="M37" s="9"/>
      <c r="N37" s="15"/>
      <c r="O37" s="9"/>
      <c r="P37" s="9"/>
      <c r="Q37" s="9"/>
      <c r="R37" s="9"/>
    </row>
    <row r="38" spans="1:18">
      <c r="A38" s="59" t="s">
        <v>15</v>
      </c>
      <c r="B38" s="31" t="s">
        <v>16</v>
      </c>
      <c r="C38" s="60" t="s">
        <v>17</v>
      </c>
      <c r="D38" s="31" t="s">
        <v>18</v>
      </c>
      <c r="E38" s="31" t="s">
        <v>19</v>
      </c>
      <c r="F38" s="31" t="s">
        <v>20</v>
      </c>
      <c r="G38" s="31" t="s">
        <v>21</v>
      </c>
      <c r="H38" s="31" t="s">
        <v>22</v>
      </c>
      <c r="I38" s="31" t="s">
        <v>23</v>
      </c>
      <c r="J38" s="31" t="s">
        <v>24</v>
      </c>
      <c r="K38" s="31" t="s">
        <v>25</v>
      </c>
      <c r="L38" s="31" t="s">
        <v>26</v>
      </c>
      <c r="M38" s="31" t="s">
        <v>27</v>
      </c>
      <c r="N38" s="31" t="s">
        <v>28</v>
      </c>
      <c r="O38" s="31" t="s">
        <v>29</v>
      </c>
      <c r="P38" s="31" t="s">
        <v>30</v>
      </c>
      <c r="Q38" s="31" t="s">
        <v>31</v>
      </c>
      <c r="R38" s="31" t="s">
        <v>32</v>
      </c>
    </row>
    <row r="39" spans="1:18">
      <c r="A39" s="61">
        <v>1776157274553</v>
      </c>
      <c r="B39" s="34">
        <v>3360</v>
      </c>
      <c r="C39" s="6" t="s">
        <v>33</v>
      </c>
      <c r="D39" s="34">
        <v>200</v>
      </c>
      <c r="E39" s="34" t="s">
        <v>34</v>
      </c>
      <c r="F39" s="34" t="s">
        <v>35</v>
      </c>
      <c r="G39" s="34" t="s">
        <v>36</v>
      </c>
      <c r="H39" s="34" t="b">
        <v>1</v>
      </c>
      <c r="I39" s="34"/>
      <c r="J39" s="34">
        <v>206</v>
      </c>
      <c r="K39" s="34">
        <v>455</v>
      </c>
      <c r="L39" s="34">
        <v>1</v>
      </c>
      <c r="M39" s="34">
        <v>1</v>
      </c>
      <c r="N39" s="6" t="s">
        <v>37</v>
      </c>
      <c r="O39" s="34">
        <v>3360</v>
      </c>
      <c r="P39" s="34">
        <v>0</v>
      </c>
      <c r="Q39" s="34">
        <v>2</v>
      </c>
      <c r="R39" s="61"/>
    </row>
    <row r="40" spans="1:18">
      <c r="A40" s="61">
        <v>1776157277913</v>
      </c>
      <c r="B40" s="34">
        <v>37</v>
      </c>
      <c r="C40" s="6" t="s">
        <v>38</v>
      </c>
      <c r="D40" s="34">
        <v>200</v>
      </c>
      <c r="E40" s="34" t="s">
        <v>34</v>
      </c>
      <c r="F40" s="34" t="s">
        <v>35</v>
      </c>
      <c r="G40" s="34" t="s">
        <v>36</v>
      </c>
      <c r="H40" s="34" t="b">
        <v>1</v>
      </c>
      <c r="I40" s="34"/>
      <c r="J40" s="34">
        <v>3116</v>
      </c>
      <c r="K40" s="34">
        <v>343</v>
      </c>
      <c r="L40" s="34">
        <v>1</v>
      </c>
      <c r="M40" s="34">
        <v>1</v>
      </c>
      <c r="N40" s="6" t="s">
        <v>37</v>
      </c>
      <c r="O40" s="34">
        <v>37</v>
      </c>
      <c r="P40" s="34">
        <v>0</v>
      </c>
      <c r="Q40" s="34">
        <v>0</v>
      </c>
      <c r="R40" s="61"/>
    </row>
    <row r="41" spans="1:18">
      <c r="A41" s="61">
        <v>1776157277951</v>
      </c>
      <c r="B41" s="34">
        <v>18</v>
      </c>
      <c r="C41" s="6" t="s">
        <v>39</v>
      </c>
      <c r="D41" s="34">
        <v>200</v>
      </c>
      <c r="E41" s="34" t="s">
        <v>34</v>
      </c>
      <c r="F41" s="34" t="s">
        <v>35</v>
      </c>
      <c r="G41" s="34" t="s">
        <v>36</v>
      </c>
      <c r="H41" s="34" t="b">
        <v>1</v>
      </c>
      <c r="I41" s="34"/>
      <c r="J41" s="34">
        <v>216</v>
      </c>
      <c r="K41" s="34">
        <v>385</v>
      </c>
      <c r="L41" s="34">
        <v>1</v>
      </c>
      <c r="M41" s="34">
        <v>1</v>
      </c>
      <c r="N41" s="6" t="s">
        <v>37</v>
      </c>
      <c r="O41" s="34">
        <v>18</v>
      </c>
      <c r="P41" s="34">
        <v>0</v>
      </c>
      <c r="Q41" s="34">
        <v>0</v>
      </c>
      <c r="R41" s="61"/>
    </row>
    <row r="42" spans="1:18" ht="15" thickBot="1">
      <c r="A42" s="62">
        <v>1776157277969</v>
      </c>
      <c r="B42" s="39">
        <v>23</v>
      </c>
      <c r="C42" s="63" t="s">
        <v>40</v>
      </c>
      <c r="D42" s="39">
        <v>200</v>
      </c>
      <c r="E42" s="39" t="s">
        <v>34</v>
      </c>
      <c r="F42" s="39" t="s">
        <v>35</v>
      </c>
      <c r="G42" s="39" t="s">
        <v>36</v>
      </c>
      <c r="H42" s="39" t="b">
        <v>1</v>
      </c>
      <c r="I42" s="39"/>
      <c r="J42" s="39">
        <v>325</v>
      </c>
      <c r="K42" s="39">
        <v>368</v>
      </c>
      <c r="L42" s="39">
        <v>1</v>
      </c>
      <c r="M42" s="39">
        <v>1</v>
      </c>
      <c r="N42" s="63" t="s">
        <v>37</v>
      </c>
      <c r="O42" s="39">
        <v>23</v>
      </c>
      <c r="P42" s="39">
        <v>0</v>
      </c>
      <c r="Q42" s="39">
        <v>0</v>
      </c>
      <c r="R42" s="62"/>
    </row>
    <row r="44" spans="1:18">
      <c r="A44" s="169" t="s">
        <v>49</v>
      </c>
      <c r="B44" s="169"/>
      <c r="C44" s="22" t="s">
        <v>50</v>
      </c>
      <c r="D44" s="24"/>
      <c r="E44" s="9"/>
      <c r="F44" s="9"/>
      <c r="G44" s="9"/>
      <c r="H44" s="9"/>
      <c r="I44" s="9"/>
      <c r="J44" s="9"/>
      <c r="K44" s="9"/>
      <c r="L44" s="9"/>
      <c r="M44" s="9"/>
      <c r="N44" s="15"/>
      <c r="O44" s="9"/>
      <c r="P44" s="9"/>
      <c r="Q44" s="9"/>
      <c r="R44" s="9"/>
    </row>
    <row r="45" spans="1:18">
      <c r="A45" s="168" t="s">
        <v>13</v>
      </c>
      <c r="B45" s="168"/>
      <c r="C45" s="58" t="s">
        <v>51</v>
      </c>
      <c r="D45" s="24"/>
      <c r="E45" s="9"/>
      <c r="F45" s="9"/>
      <c r="G45" s="9"/>
      <c r="H45" s="9"/>
      <c r="I45" s="9"/>
      <c r="J45" s="9"/>
      <c r="K45" s="9"/>
      <c r="L45" s="9"/>
      <c r="M45" s="9"/>
      <c r="N45" s="15"/>
      <c r="O45" s="9"/>
      <c r="P45" s="9"/>
      <c r="Q45" s="9"/>
      <c r="R45" s="9"/>
    </row>
    <row r="46" spans="1:18">
      <c r="A46" s="64"/>
      <c r="B46" s="64"/>
      <c r="D46" s="9"/>
      <c r="E46" s="9"/>
      <c r="F46" s="9"/>
      <c r="G46" s="9"/>
      <c r="H46" s="9"/>
      <c r="I46" s="9"/>
      <c r="J46" s="9"/>
      <c r="K46" s="9"/>
      <c r="L46" s="9"/>
      <c r="M46" s="9"/>
      <c r="N46" s="15"/>
      <c r="O46" s="9"/>
      <c r="P46" s="9"/>
      <c r="Q46" s="9"/>
      <c r="R46" s="9"/>
    </row>
    <row r="47" spans="1:18">
      <c r="A47" s="59" t="s">
        <v>15</v>
      </c>
      <c r="B47" s="31" t="s">
        <v>16</v>
      </c>
      <c r="C47" s="60" t="s">
        <v>17</v>
      </c>
      <c r="D47" s="31" t="s">
        <v>18</v>
      </c>
      <c r="E47" s="31" t="s">
        <v>19</v>
      </c>
      <c r="F47" s="31" t="s">
        <v>20</v>
      </c>
      <c r="G47" s="31" t="s">
        <v>21</v>
      </c>
      <c r="H47" s="31" t="s">
        <v>22</v>
      </c>
      <c r="I47" s="31" t="s">
        <v>23</v>
      </c>
      <c r="J47" s="31" t="s">
        <v>24</v>
      </c>
      <c r="K47" s="31" t="s">
        <v>25</v>
      </c>
      <c r="L47" s="31" t="s">
        <v>26</v>
      </c>
      <c r="M47" s="31" t="s">
        <v>27</v>
      </c>
      <c r="N47" s="31" t="s">
        <v>28</v>
      </c>
      <c r="O47" s="31" t="s">
        <v>29</v>
      </c>
      <c r="P47" s="31" t="s">
        <v>30</v>
      </c>
      <c r="Q47" s="31" t="s">
        <v>31</v>
      </c>
      <c r="R47" s="31" t="s">
        <v>32</v>
      </c>
    </row>
    <row r="48" spans="1:18">
      <c r="A48" s="61">
        <v>1776160838921</v>
      </c>
      <c r="B48" s="34">
        <v>9090</v>
      </c>
      <c r="C48" s="6" t="s">
        <v>33</v>
      </c>
      <c r="D48" s="34">
        <v>200</v>
      </c>
      <c r="E48" s="34" t="s">
        <v>34</v>
      </c>
      <c r="F48" s="34" t="s">
        <v>35</v>
      </c>
      <c r="G48" s="34" t="s">
        <v>36</v>
      </c>
      <c r="H48" s="34" t="b">
        <v>1</v>
      </c>
      <c r="I48" s="34"/>
      <c r="J48" s="34">
        <v>206</v>
      </c>
      <c r="K48" s="34">
        <v>458</v>
      </c>
      <c r="L48" s="34">
        <v>1</v>
      </c>
      <c r="M48" s="34">
        <v>1</v>
      </c>
      <c r="N48" s="6" t="s">
        <v>37</v>
      </c>
      <c r="O48" s="34">
        <v>9089</v>
      </c>
      <c r="P48" s="34">
        <v>0</v>
      </c>
      <c r="Q48" s="34">
        <v>2</v>
      </c>
      <c r="R48" s="61"/>
    </row>
    <row r="49" spans="1:18">
      <c r="A49" s="61">
        <v>1776160848012</v>
      </c>
      <c r="B49" s="34">
        <v>38</v>
      </c>
      <c r="C49" s="6" t="s">
        <v>38</v>
      </c>
      <c r="D49" s="34">
        <v>200</v>
      </c>
      <c r="E49" s="34" t="s">
        <v>34</v>
      </c>
      <c r="F49" s="34" t="s">
        <v>35</v>
      </c>
      <c r="G49" s="34" t="s">
        <v>36</v>
      </c>
      <c r="H49" s="34" t="b">
        <v>1</v>
      </c>
      <c r="I49" s="34"/>
      <c r="J49" s="34">
        <v>3547</v>
      </c>
      <c r="K49" s="34">
        <v>343</v>
      </c>
      <c r="L49" s="34">
        <v>1</v>
      </c>
      <c r="M49" s="34">
        <v>1</v>
      </c>
      <c r="N49" s="6" t="s">
        <v>37</v>
      </c>
      <c r="O49" s="34">
        <v>38</v>
      </c>
      <c r="P49" s="34">
        <v>0</v>
      </c>
      <c r="Q49" s="34">
        <v>0</v>
      </c>
      <c r="R49" s="61"/>
    </row>
    <row r="50" spans="1:18">
      <c r="A50" s="61">
        <v>1776160848077</v>
      </c>
      <c r="B50" s="34">
        <v>22</v>
      </c>
      <c r="C50" s="6" t="s">
        <v>39</v>
      </c>
      <c r="D50" s="34">
        <v>200</v>
      </c>
      <c r="E50" s="34" t="s">
        <v>34</v>
      </c>
      <c r="F50" s="34" t="s">
        <v>35</v>
      </c>
      <c r="G50" s="34" t="s">
        <v>36</v>
      </c>
      <c r="H50" s="34" t="b">
        <v>1</v>
      </c>
      <c r="I50" s="34"/>
      <c r="J50" s="34">
        <v>287</v>
      </c>
      <c r="K50" s="34">
        <v>385</v>
      </c>
      <c r="L50" s="34">
        <v>1</v>
      </c>
      <c r="M50" s="34">
        <v>1</v>
      </c>
      <c r="N50" s="6" t="s">
        <v>37</v>
      </c>
      <c r="O50" s="34">
        <v>22</v>
      </c>
      <c r="P50" s="34">
        <v>0</v>
      </c>
      <c r="Q50" s="34">
        <v>0</v>
      </c>
      <c r="R50" s="61"/>
    </row>
    <row r="51" spans="1:18" ht="15" thickBot="1">
      <c r="A51" s="62">
        <v>1776160848099</v>
      </c>
      <c r="B51" s="39">
        <v>20</v>
      </c>
      <c r="C51" s="63" t="s">
        <v>40</v>
      </c>
      <c r="D51" s="39">
        <v>200</v>
      </c>
      <c r="E51" s="39" t="s">
        <v>34</v>
      </c>
      <c r="F51" s="39" t="s">
        <v>35</v>
      </c>
      <c r="G51" s="39" t="s">
        <v>36</v>
      </c>
      <c r="H51" s="39" t="b">
        <v>1</v>
      </c>
      <c r="I51" s="39"/>
      <c r="J51" s="39">
        <v>631</v>
      </c>
      <c r="K51" s="39">
        <v>369</v>
      </c>
      <c r="L51" s="39">
        <v>1</v>
      </c>
      <c r="M51" s="39">
        <v>1</v>
      </c>
      <c r="N51" s="63" t="s">
        <v>37</v>
      </c>
      <c r="O51" s="39">
        <v>20</v>
      </c>
      <c r="P51" s="39">
        <v>0</v>
      </c>
      <c r="Q51" s="39">
        <v>0</v>
      </c>
      <c r="R51" s="62"/>
    </row>
    <row r="53" spans="1:18">
      <c r="A53" s="169" t="s">
        <v>52</v>
      </c>
      <c r="B53" s="169"/>
      <c r="C53" s="22" t="s">
        <v>53</v>
      </c>
      <c r="D53" s="24"/>
      <c r="E53" s="9"/>
      <c r="F53" s="9"/>
      <c r="G53" s="9"/>
      <c r="H53" s="9"/>
      <c r="I53" s="9"/>
      <c r="J53" s="9"/>
      <c r="K53" s="9"/>
      <c r="L53" s="9"/>
      <c r="M53" s="9"/>
      <c r="N53" s="15"/>
      <c r="O53" s="9"/>
      <c r="P53" s="9"/>
      <c r="Q53" s="9"/>
      <c r="R53" s="9"/>
    </row>
    <row r="54" spans="1:18">
      <c r="A54" s="168" t="s">
        <v>13</v>
      </c>
      <c r="B54" s="168"/>
      <c r="C54" s="58" t="s">
        <v>54</v>
      </c>
      <c r="D54" s="24"/>
      <c r="E54" s="9"/>
      <c r="F54" s="9"/>
      <c r="G54" s="9"/>
      <c r="H54" s="9"/>
      <c r="I54" s="9"/>
      <c r="J54" s="9"/>
      <c r="K54" s="9"/>
      <c r="L54" s="9"/>
      <c r="M54" s="9"/>
      <c r="N54" s="15"/>
      <c r="O54" s="9"/>
      <c r="P54" s="9"/>
      <c r="Q54" s="9"/>
      <c r="R54" s="9"/>
    </row>
    <row r="55" spans="1:18">
      <c r="A55" s="64"/>
      <c r="B55" s="64"/>
      <c r="D55" s="9"/>
      <c r="E55" s="9"/>
      <c r="F55" s="9"/>
      <c r="G55" s="9"/>
      <c r="H55" s="9"/>
      <c r="I55" s="9"/>
      <c r="J55" s="9"/>
      <c r="K55" s="9"/>
      <c r="L55" s="9"/>
      <c r="M55" s="9"/>
      <c r="N55" s="15"/>
      <c r="O55" s="9"/>
      <c r="P55" s="9"/>
      <c r="Q55" s="9"/>
      <c r="R55" s="9"/>
    </row>
    <row r="56" spans="1:18">
      <c r="A56" s="59" t="s">
        <v>15</v>
      </c>
      <c r="B56" s="31" t="s">
        <v>16</v>
      </c>
      <c r="C56" s="60" t="s">
        <v>17</v>
      </c>
      <c r="D56" s="31" t="s">
        <v>18</v>
      </c>
      <c r="E56" s="31" t="s">
        <v>19</v>
      </c>
      <c r="F56" s="31" t="s">
        <v>20</v>
      </c>
      <c r="G56" s="31" t="s">
        <v>21</v>
      </c>
      <c r="H56" s="31" t="s">
        <v>22</v>
      </c>
      <c r="I56" s="31" t="s">
        <v>23</v>
      </c>
      <c r="J56" s="31" t="s">
        <v>24</v>
      </c>
      <c r="K56" s="31" t="s">
        <v>25</v>
      </c>
      <c r="L56" s="31" t="s">
        <v>26</v>
      </c>
      <c r="M56" s="31" t="s">
        <v>27</v>
      </c>
      <c r="N56" s="31" t="s">
        <v>28</v>
      </c>
      <c r="O56" s="31" t="s">
        <v>29</v>
      </c>
      <c r="P56" s="31" t="s">
        <v>30</v>
      </c>
      <c r="Q56" s="31" t="s">
        <v>31</v>
      </c>
      <c r="R56" s="31" t="s">
        <v>32</v>
      </c>
    </row>
    <row r="57" spans="1:18">
      <c r="A57" s="61">
        <v>1776161818668</v>
      </c>
      <c r="B57" s="34">
        <v>32790</v>
      </c>
      <c r="C57" s="6" t="s">
        <v>33</v>
      </c>
      <c r="D57" s="34">
        <v>200</v>
      </c>
      <c r="E57" s="34" t="s">
        <v>34</v>
      </c>
      <c r="F57" s="34" t="s">
        <v>35</v>
      </c>
      <c r="G57" s="34" t="s">
        <v>36</v>
      </c>
      <c r="H57" s="34" t="b">
        <v>1</v>
      </c>
      <c r="I57" s="34"/>
      <c r="J57" s="34">
        <v>206</v>
      </c>
      <c r="K57" s="34">
        <v>459</v>
      </c>
      <c r="L57" s="34">
        <v>1</v>
      </c>
      <c r="M57" s="34">
        <v>1</v>
      </c>
      <c r="N57" s="6" t="s">
        <v>37</v>
      </c>
      <c r="O57" s="34">
        <v>32790</v>
      </c>
      <c r="P57" s="34">
        <v>0</v>
      </c>
      <c r="Q57" s="34">
        <v>2</v>
      </c>
      <c r="R57" s="61"/>
    </row>
    <row r="58" spans="1:18">
      <c r="A58" s="61">
        <v>1776161851459</v>
      </c>
      <c r="B58" s="34">
        <v>39</v>
      </c>
      <c r="C58" s="6" t="s">
        <v>38</v>
      </c>
      <c r="D58" s="34">
        <v>200</v>
      </c>
      <c r="E58" s="34" t="s">
        <v>34</v>
      </c>
      <c r="F58" s="34" t="s">
        <v>35</v>
      </c>
      <c r="G58" s="34" t="s">
        <v>36</v>
      </c>
      <c r="H58" s="34" t="b">
        <v>1</v>
      </c>
      <c r="I58" s="34"/>
      <c r="J58" s="34">
        <v>3981</v>
      </c>
      <c r="K58" s="34">
        <v>343</v>
      </c>
      <c r="L58" s="34">
        <v>1</v>
      </c>
      <c r="M58" s="34">
        <v>1</v>
      </c>
      <c r="N58" s="6" t="s">
        <v>37</v>
      </c>
      <c r="O58" s="34">
        <v>38</v>
      </c>
      <c r="P58" s="34">
        <v>0</v>
      </c>
      <c r="Q58" s="34">
        <v>0</v>
      </c>
      <c r="R58" s="61"/>
    </row>
    <row r="59" spans="1:18">
      <c r="A59" s="61">
        <v>1776161851520</v>
      </c>
      <c r="B59" s="34">
        <v>21</v>
      </c>
      <c r="C59" s="6" t="s">
        <v>39</v>
      </c>
      <c r="D59" s="34">
        <v>200</v>
      </c>
      <c r="E59" s="34" t="s">
        <v>34</v>
      </c>
      <c r="F59" s="34" t="s">
        <v>35</v>
      </c>
      <c r="G59" s="34" t="s">
        <v>36</v>
      </c>
      <c r="H59" s="34" t="b">
        <v>1</v>
      </c>
      <c r="I59" s="34"/>
      <c r="J59" s="34">
        <v>610</v>
      </c>
      <c r="K59" s="34">
        <v>385</v>
      </c>
      <c r="L59" s="34">
        <v>1</v>
      </c>
      <c r="M59" s="34">
        <v>1</v>
      </c>
      <c r="N59" s="6" t="s">
        <v>37</v>
      </c>
      <c r="O59" s="34">
        <v>20</v>
      </c>
      <c r="P59" s="34">
        <v>0</v>
      </c>
      <c r="Q59" s="34">
        <v>0</v>
      </c>
      <c r="R59" s="61"/>
    </row>
    <row r="60" spans="1:18" ht="15" thickBot="1">
      <c r="A60" s="62">
        <v>1776161851541</v>
      </c>
      <c r="B60" s="39">
        <v>19</v>
      </c>
      <c r="C60" s="63" t="s">
        <v>40</v>
      </c>
      <c r="D60" s="39">
        <v>200</v>
      </c>
      <c r="E60" s="39" t="s">
        <v>34</v>
      </c>
      <c r="F60" s="39" t="s">
        <v>35</v>
      </c>
      <c r="G60" s="39" t="s">
        <v>36</v>
      </c>
      <c r="H60" s="39" t="b">
        <v>1</v>
      </c>
      <c r="I60" s="39"/>
      <c r="J60" s="39">
        <v>222</v>
      </c>
      <c r="K60" s="39">
        <v>369</v>
      </c>
      <c r="L60" s="39">
        <v>1</v>
      </c>
      <c r="M60" s="39">
        <v>1</v>
      </c>
      <c r="N60" s="63" t="s">
        <v>37</v>
      </c>
      <c r="O60" s="39">
        <v>19</v>
      </c>
      <c r="P60" s="39">
        <v>0</v>
      </c>
      <c r="Q60" s="39">
        <v>0</v>
      </c>
      <c r="R60" s="62"/>
    </row>
    <row r="62" spans="1:18">
      <c r="A62" s="169" t="s">
        <v>55</v>
      </c>
      <c r="B62" s="169"/>
      <c r="C62" s="22" t="s">
        <v>56</v>
      </c>
      <c r="D62" s="24"/>
      <c r="E62" s="9"/>
      <c r="F62" s="9"/>
      <c r="G62" s="9"/>
      <c r="H62" s="9"/>
      <c r="I62" s="9"/>
      <c r="J62" s="9"/>
      <c r="K62" s="9"/>
      <c r="L62" s="9"/>
      <c r="M62" s="9"/>
      <c r="N62" s="15"/>
      <c r="O62" s="9"/>
      <c r="P62" s="9"/>
      <c r="Q62" s="9"/>
      <c r="R62" s="9"/>
    </row>
    <row r="63" spans="1:18">
      <c r="A63" s="168" t="s">
        <v>13</v>
      </c>
      <c r="B63" s="168"/>
      <c r="C63" s="58" t="s">
        <v>57</v>
      </c>
      <c r="D63" s="24"/>
      <c r="E63" s="9"/>
      <c r="F63" s="9"/>
      <c r="G63" s="9"/>
      <c r="H63" s="9"/>
      <c r="I63" s="9"/>
      <c r="J63" s="9"/>
      <c r="K63" s="9"/>
      <c r="L63" s="9"/>
      <c r="M63" s="9"/>
      <c r="N63" s="15"/>
      <c r="O63" s="9"/>
      <c r="P63" s="9"/>
      <c r="Q63" s="9"/>
      <c r="R63" s="9"/>
    </row>
    <row r="64" spans="1:18">
      <c r="A64" s="64"/>
      <c r="B64" s="64"/>
      <c r="D64" s="9"/>
      <c r="E64" s="9"/>
      <c r="F64" s="9"/>
      <c r="G64" s="9"/>
      <c r="H64" s="9"/>
      <c r="I64" s="9"/>
      <c r="J64" s="9"/>
      <c r="K64" s="9"/>
      <c r="L64" s="9"/>
      <c r="M64" s="9"/>
      <c r="N64" s="15"/>
      <c r="O64" s="9"/>
      <c r="P64" s="9"/>
      <c r="Q64" s="9"/>
      <c r="R64" s="9"/>
    </row>
    <row r="65" spans="1:18">
      <c r="A65" s="59" t="s">
        <v>15</v>
      </c>
      <c r="B65" s="31" t="s">
        <v>16</v>
      </c>
      <c r="C65" s="60" t="s">
        <v>17</v>
      </c>
      <c r="D65" s="31" t="s">
        <v>18</v>
      </c>
      <c r="E65" s="31" t="s">
        <v>19</v>
      </c>
      <c r="F65" s="31" t="s">
        <v>20</v>
      </c>
      <c r="G65" s="31" t="s">
        <v>21</v>
      </c>
      <c r="H65" s="31" t="s">
        <v>22</v>
      </c>
      <c r="I65" s="31" t="s">
        <v>23</v>
      </c>
      <c r="J65" s="31" t="s">
        <v>24</v>
      </c>
      <c r="K65" s="31" t="s">
        <v>25</v>
      </c>
      <c r="L65" s="31" t="s">
        <v>26</v>
      </c>
      <c r="M65" s="31" t="s">
        <v>27</v>
      </c>
      <c r="N65" s="31" t="s">
        <v>28</v>
      </c>
      <c r="O65" s="31" t="s">
        <v>29</v>
      </c>
      <c r="P65" s="31" t="s">
        <v>30</v>
      </c>
      <c r="Q65" s="31" t="s">
        <v>31</v>
      </c>
      <c r="R65" s="31" t="s">
        <v>32</v>
      </c>
    </row>
    <row r="66" spans="1:18">
      <c r="A66" s="61">
        <v>1776162828912</v>
      </c>
      <c r="B66" s="34">
        <v>598960</v>
      </c>
      <c r="C66" s="6" t="s">
        <v>33</v>
      </c>
      <c r="D66" s="34">
        <v>200</v>
      </c>
      <c r="E66" s="34" t="s">
        <v>34</v>
      </c>
      <c r="F66" s="34" t="s">
        <v>35</v>
      </c>
      <c r="G66" s="34" t="s">
        <v>36</v>
      </c>
      <c r="H66" s="34" t="b">
        <v>1</v>
      </c>
      <c r="I66" s="34"/>
      <c r="J66" s="34">
        <v>207</v>
      </c>
      <c r="K66" s="34">
        <v>461</v>
      </c>
      <c r="L66" s="34">
        <v>1</v>
      </c>
      <c r="M66" s="34">
        <v>1</v>
      </c>
      <c r="N66" s="6" t="s">
        <v>37</v>
      </c>
      <c r="O66" s="34">
        <v>598960</v>
      </c>
      <c r="P66" s="34">
        <v>0</v>
      </c>
      <c r="Q66" s="34">
        <v>2</v>
      </c>
      <c r="R66" s="61"/>
    </row>
    <row r="67" spans="1:18">
      <c r="A67" s="61">
        <v>1776163427873</v>
      </c>
      <c r="B67" s="34">
        <v>52</v>
      </c>
      <c r="C67" s="6" t="s">
        <v>38</v>
      </c>
      <c r="D67" s="34">
        <v>200</v>
      </c>
      <c r="E67" s="34" t="s">
        <v>34</v>
      </c>
      <c r="F67" s="34" t="s">
        <v>35</v>
      </c>
      <c r="G67" s="34" t="s">
        <v>36</v>
      </c>
      <c r="H67" s="34" t="b">
        <v>1</v>
      </c>
      <c r="I67" s="34"/>
      <c r="J67" s="34">
        <v>4420</v>
      </c>
      <c r="K67" s="34">
        <v>343</v>
      </c>
      <c r="L67" s="34">
        <v>1</v>
      </c>
      <c r="M67" s="34">
        <v>1</v>
      </c>
      <c r="N67" s="6" t="s">
        <v>37</v>
      </c>
      <c r="O67" s="34">
        <v>52</v>
      </c>
      <c r="P67" s="34">
        <v>0</v>
      </c>
      <c r="Q67" s="34">
        <v>2</v>
      </c>
      <c r="R67" s="61"/>
    </row>
    <row r="68" spans="1:18">
      <c r="A68" s="61">
        <v>1776163427960</v>
      </c>
      <c r="B68" s="34">
        <v>25</v>
      </c>
      <c r="C68" s="6" t="s">
        <v>39</v>
      </c>
      <c r="D68" s="34">
        <v>200</v>
      </c>
      <c r="E68" s="34" t="s">
        <v>34</v>
      </c>
      <c r="F68" s="34" t="s">
        <v>35</v>
      </c>
      <c r="G68" s="34" t="s">
        <v>36</v>
      </c>
      <c r="H68" s="34" t="b">
        <v>1</v>
      </c>
      <c r="I68" s="34"/>
      <c r="J68" s="34">
        <v>228</v>
      </c>
      <c r="K68" s="34">
        <v>386</v>
      </c>
      <c r="L68" s="34">
        <v>1</v>
      </c>
      <c r="M68" s="34">
        <v>1</v>
      </c>
      <c r="N68" s="6" t="s">
        <v>37</v>
      </c>
      <c r="O68" s="34">
        <v>25</v>
      </c>
      <c r="P68" s="34">
        <v>0</v>
      </c>
      <c r="Q68" s="34">
        <v>0</v>
      </c>
      <c r="R68" s="61"/>
    </row>
    <row r="69" spans="1:18" ht="15" thickBot="1">
      <c r="A69" s="62">
        <v>1776163427986</v>
      </c>
      <c r="B69" s="39">
        <v>25</v>
      </c>
      <c r="C69" s="63" t="s">
        <v>40</v>
      </c>
      <c r="D69" s="39">
        <v>200</v>
      </c>
      <c r="E69" s="39" t="s">
        <v>34</v>
      </c>
      <c r="F69" s="39" t="s">
        <v>35</v>
      </c>
      <c r="G69" s="39" t="s">
        <v>36</v>
      </c>
      <c r="H69" s="39" t="b">
        <v>1</v>
      </c>
      <c r="I69" s="39"/>
      <c r="J69" s="39">
        <v>542</v>
      </c>
      <c r="K69" s="39">
        <v>368</v>
      </c>
      <c r="L69" s="39">
        <v>1</v>
      </c>
      <c r="M69" s="39">
        <v>1</v>
      </c>
      <c r="N69" s="63" t="s">
        <v>37</v>
      </c>
      <c r="O69" s="39">
        <v>25</v>
      </c>
      <c r="P69" s="39">
        <v>0</v>
      </c>
      <c r="Q69" s="39">
        <v>0</v>
      </c>
      <c r="R69" s="62"/>
    </row>
    <row r="71" spans="1:18">
      <c r="A71" s="169" t="s">
        <v>58</v>
      </c>
      <c r="B71" s="169"/>
      <c r="C71" s="22" t="s">
        <v>59</v>
      </c>
      <c r="D71" s="24"/>
      <c r="E71" s="9"/>
      <c r="F71" s="9"/>
      <c r="G71" s="9"/>
      <c r="H71" s="9"/>
      <c r="I71" s="9"/>
      <c r="J71" s="9"/>
      <c r="K71" s="9"/>
      <c r="L71" s="9"/>
      <c r="M71" s="9"/>
      <c r="N71" s="15"/>
      <c r="O71" s="9"/>
      <c r="P71" s="9"/>
      <c r="Q71" s="9"/>
      <c r="R71" s="9"/>
    </row>
    <row r="72" spans="1:18">
      <c r="A72" s="168" t="s">
        <v>13</v>
      </c>
      <c r="B72" s="168"/>
      <c r="C72" s="58" t="s">
        <v>60</v>
      </c>
      <c r="D72" s="24"/>
      <c r="E72" s="9"/>
      <c r="F72" s="9"/>
      <c r="G72" s="9"/>
      <c r="H72" s="9"/>
      <c r="I72" s="9"/>
      <c r="J72" s="9"/>
      <c r="K72" s="9"/>
      <c r="L72" s="9"/>
      <c r="M72" s="9"/>
      <c r="N72" s="15"/>
      <c r="O72" s="9"/>
      <c r="P72" s="9"/>
      <c r="Q72" s="9"/>
      <c r="R72" s="9"/>
    </row>
    <row r="73" spans="1:18">
      <c r="A73" s="64"/>
      <c r="B73" s="64"/>
      <c r="D73" s="9"/>
      <c r="E73" s="9"/>
      <c r="F73" s="9"/>
      <c r="G73" s="9"/>
      <c r="H73" s="9"/>
      <c r="I73" s="9"/>
      <c r="J73" s="9"/>
      <c r="K73" s="9"/>
      <c r="L73" s="9"/>
      <c r="M73" s="9"/>
      <c r="N73" s="15"/>
      <c r="O73" s="9"/>
      <c r="P73" s="9"/>
      <c r="Q73" s="9"/>
      <c r="R73" s="9"/>
    </row>
    <row r="74" spans="1:18">
      <c r="A74" s="59" t="s">
        <v>15</v>
      </c>
      <c r="B74" s="31" t="s">
        <v>16</v>
      </c>
      <c r="C74" s="60" t="s">
        <v>17</v>
      </c>
      <c r="D74" s="31" t="s">
        <v>18</v>
      </c>
      <c r="E74" s="31" t="s">
        <v>19</v>
      </c>
      <c r="F74" s="31" t="s">
        <v>20</v>
      </c>
      <c r="G74" s="31" t="s">
        <v>21</v>
      </c>
      <c r="H74" s="31" t="s">
        <v>22</v>
      </c>
      <c r="I74" s="31" t="s">
        <v>23</v>
      </c>
      <c r="J74" s="31" t="s">
        <v>24</v>
      </c>
      <c r="K74" s="31" t="s">
        <v>25</v>
      </c>
      <c r="L74" s="31" t="s">
        <v>26</v>
      </c>
      <c r="M74" s="31" t="s">
        <v>27</v>
      </c>
      <c r="N74" s="31" t="s">
        <v>28</v>
      </c>
      <c r="O74" s="31" t="s">
        <v>29</v>
      </c>
      <c r="P74" s="31" t="s">
        <v>30</v>
      </c>
      <c r="Q74" s="31" t="s">
        <v>31</v>
      </c>
      <c r="R74" s="31" t="s">
        <v>32</v>
      </c>
    </row>
    <row r="75" spans="1:18">
      <c r="A75" s="61">
        <v>1776164514418</v>
      </c>
      <c r="B75" s="34">
        <v>45299</v>
      </c>
      <c r="C75" s="6" t="s">
        <v>33</v>
      </c>
      <c r="D75" s="34">
        <v>200</v>
      </c>
      <c r="E75" s="34" t="s">
        <v>34</v>
      </c>
      <c r="F75" s="34" t="s">
        <v>35</v>
      </c>
      <c r="G75" s="34" t="s">
        <v>36</v>
      </c>
      <c r="H75" s="34" t="b">
        <v>1</v>
      </c>
      <c r="I75" s="34"/>
      <c r="J75" s="34">
        <v>207</v>
      </c>
      <c r="K75" s="34">
        <v>459</v>
      </c>
      <c r="L75" s="34">
        <v>1</v>
      </c>
      <c r="M75" s="34">
        <v>1</v>
      </c>
      <c r="N75" s="6" t="s">
        <v>37</v>
      </c>
      <c r="O75" s="34">
        <v>45299</v>
      </c>
      <c r="P75" s="34">
        <v>0</v>
      </c>
      <c r="Q75" s="34">
        <v>2</v>
      </c>
      <c r="R75" s="61"/>
    </row>
    <row r="76" spans="1:18">
      <c r="A76" s="61">
        <v>1776164559718</v>
      </c>
      <c r="B76" s="34">
        <v>50</v>
      </c>
      <c r="C76" s="6" t="s">
        <v>38</v>
      </c>
      <c r="D76" s="34">
        <v>200</v>
      </c>
      <c r="E76" s="34" t="s">
        <v>34</v>
      </c>
      <c r="F76" s="34" t="s">
        <v>35</v>
      </c>
      <c r="G76" s="34" t="s">
        <v>36</v>
      </c>
      <c r="H76" s="34" t="b">
        <v>1</v>
      </c>
      <c r="I76" s="34"/>
      <c r="J76" s="34">
        <v>4856</v>
      </c>
      <c r="K76" s="34">
        <v>343</v>
      </c>
      <c r="L76" s="34">
        <v>1</v>
      </c>
      <c r="M76" s="34">
        <v>1</v>
      </c>
      <c r="N76" s="6" t="s">
        <v>37</v>
      </c>
      <c r="O76" s="34">
        <v>50</v>
      </c>
      <c r="P76" s="34">
        <v>0</v>
      </c>
      <c r="Q76" s="34">
        <v>0</v>
      </c>
      <c r="R76" s="61"/>
    </row>
    <row r="77" spans="1:18">
      <c r="A77" s="61">
        <v>1776164559788</v>
      </c>
      <c r="B77" s="34">
        <v>28</v>
      </c>
      <c r="C77" s="6" t="s">
        <v>39</v>
      </c>
      <c r="D77" s="34">
        <v>200</v>
      </c>
      <c r="E77" s="34" t="s">
        <v>34</v>
      </c>
      <c r="F77" s="34" t="s">
        <v>35</v>
      </c>
      <c r="G77" s="34" t="s">
        <v>36</v>
      </c>
      <c r="H77" s="34" t="b">
        <v>1</v>
      </c>
      <c r="I77" s="34"/>
      <c r="J77" s="34">
        <v>1722</v>
      </c>
      <c r="K77" s="34">
        <v>386</v>
      </c>
      <c r="L77" s="34">
        <v>1</v>
      </c>
      <c r="M77" s="34">
        <v>1</v>
      </c>
      <c r="N77" s="6" t="s">
        <v>37</v>
      </c>
      <c r="O77" s="34">
        <v>28</v>
      </c>
      <c r="P77" s="34">
        <v>0</v>
      </c>
      <c r="Q77" s="34">
        <v>0</v>
      </c>
      <c r="R77" s="61"/>
    </row>
    <row r="78" spans="1:18" ht="15" thickBot="1">
      <c r="A78" s="62">
        <v>1776164559816</v>
      </c>
      <c r="B78" s="39">
        <v>24</v>
      </c>
      <c r="C78" s="63" t="s">
        <v>40</v>
      </c>
      <c r="D78" s="39">
        <v>200</v>
      </c>
      <c r="E78" s="39" t="s">
        <v>34</v>
      </c>
      <c r="F78" s="39" t="s">
        <v>35</v>
      </c>
      <c r="G78" s="39" t="s">
        <v>36</v>
      </c>
      <c r="H78" s="39" t="b">
        <v>1</v>
      </c>
      <c r="I78" s="39"/>
      <c r="J78" s="39">
        <v>590</v>
      </c>
      <c r="K78" s="39">
        <v>370</v>
      </c>
      <c r="L78" s="39">
        <v>1</v>
      </c>
      <c r="M78" s="39">
        <v>1</v>
      </c>
      <c r="N78" s="63" t="s">
        <v>37</v>
      </c>
      <c r="O78" s="39">
        <v>24</v>
      </c>
      <c r="P78" s="39">
        <v>0</v>
      </c>
      <c r="Q78" s="39">
        <v>0</v>
      </c>
      <c r="R78" s="62"/>
    </row>
    <row r="80" spans="1:18">
      <c r="A80" s="169" t="s">
        <v>61</v>
      </c>
      <c r="B80" s="169"/>
      <c r="C80" s="22" t="s">
        <v>62</v>
      </c>
      <c r="D80" s="24"/>
      <c r="E80" s="9"/>
      <c r="F80" s="9"/>
      <c r="G80" s="9"/>
      <c r="H80" s="9"/>
      <c r="I80" s="9"/>
      <c r="J80" s="9"/>
      <c r="K80" s="9"/>
      <c r="L80" s="9"/>
      <c r="M80" s="9"/>
      <c r="N80" s="15"/>
      <c r="O80" s="9"/>
      <c r="P80" s="9"/>
      <c r="Q80" s="9"/>
      <c r="R80" s="9"/>
    </row>
    <row r="81" spans="1:18">
      <c r="A81" s="168" t="s">
        <v>13</v>
      </c>
      <c r="B81" s="168"/>
      <c r="C81" s="58" t="s">
        <v>63</v>
      </c>
      <c r="D81" s="24"/>
      <c r="E81" s="9"/>
      <c r="F81" s="9"/>
      <c r="G81" s="9"/>
      <c r="H81" s="9"/>
      <c r="I81" s="9"/>
      <c r="J81" s="9"/>
      <c r="K81" s="9"/>
      <c r="L81" s="9"/>
      <c r="M81" s="9"/>
      <c r="N81" s="15"/>
      <c r="O81" s="9"/>
      <c r="P81" s="9"/>
      <c r="Q81" s="9"/>
      <c r="R81" s="9"/>
    </row>
    <row r="82" spans="1:18">
      <c r="A82" s="64"/>
      <c r="B82" s="64"/>
      <c r="D82" s="9"/>
      <c r="E82" s="9"/>
      <c r="F82" s="9"/>
      <c r="G82" s="9"/>
      <c r="H82" s="9"/>
      <c r="I82" s="9"/>
      <c r="J82" s="9"/>
      <c r="K82" s="9"/>
      <c r="L82" s="9"/>
      <c r="M82" s="9"/>
      <c r="N82" s="15"/>
      <c r="O82" s="9"/>
      <c r="P82" s="9"/>
      <c r="Q82" s="9"/>
      <c r="R82" s="9"/>
    </row>
    <row r="83" spans="1:18">
      <c r="A83" s="59" t="s">
        <v>15</v>
      </c>
      <c r="B83" s="31" t="s">
        <v>16</v>
      </c>
      <c r="C83" s="60" t="s">
        <v>17</v>
      </c>
      <c r="D83" s="31" t="s">
        <v>18</v>
      </c>
      <c r="E83" s="31" t="s">
        <v>19</v>
      </c>
      <c r="F83" s="31" t="s">
        <v>20</v>
      </c>
      <c r="G83" s="31" t="s">
        <v>21</v>
      </c>
      <c r="H83" s="31" t="s">
        <v>22</v>
      </c>
      <c r="I83" s="31" t="s">
        <v>23</v>
      </c>
      <c r="J83" s="31" t="s">
        <v>24</v>
      </c>
      <c r="K83" s="31" t="s">
        <v>25</v>
      </c>
      <c r="L83" s="31" t="s">
        <v>26</v>
      </c>
      <c r="M83" s="31" t="s">
        <v>27</v>
      </c>
      <c r="N83" s="31" t="s">
        <v>28</v>
      </c>
      <c r="O83" s="31" t="s">
        <v>29</v>
      </c>
      <c r="P83" s="31" t="s">
        <v>30</v>
      </c>
      <c r="Q83" s="31" t="s">
        <v>31</v>
      </c>
      <c r="R83" s="31" t="s">
        <v>32</v>
      </c>
    </row>
    <row r="84" spans="1:18">
      <c r="A84" s="61">
        <v>1776165403894</v>
      </c>
      <c r="B84" s="34">
        <v>13966</v>
      </c>
      <c r="C84" s="6" t="s">
        <v>33</v>
      </c>
      <c r="D84" s="34">
        <v>200</v>
      </c>
      <c r="E84" s="34" t="s">
        <v>34</v>
      </c>
      <c r="F84" s="34" t="s">
        <v>35</v>
      </c>
      <c r="G84" s="34" t="s">
        <v>36</v>
      </c>
      <c r="H84" s="34" t="b">
        <v>1</v>
      </c>
      <c r="I84" s="34"/>
      <c r="J84" s="34">
        <v>207</v>
      </c>
      <c r="K84" s="34">
        <v>459</v>
      </c>
      <c r="L84" s="34">
        <v>1</v>
      </c>
      <c r="M84" s="34">
        <v>1</v>
      </c>
      <c r="N84" s="6" t="s">
        <v>37</v>
      </c>
      <c r="O84" s="34">
        <v>13966</v>
      </c>
      <c r="P84" s="34">
        <v>0</v>
      </c>
      <c r="Q84" s="34">
        <v>2</v>
      </c>
      <c r="R84" s="61"/>
    </row>
    <row r="85" spans="1:18">
      <c r="A85" s="61">
        <v>1776165417861</v>
      </c>
      <c r="B85" s="34">
        <v>47</v>
      </c>
      <c r="C85" s="6" t="s">
        <v>38</v>
      </c>
      <c r="D85" s="34">
        <v>200</v>
      </c>
      <c r="E85" s="34" t="s">
        <v>34</v>
      </c>
      <c r="F85" s="34" t="s">
        <v>35</v>
      </c>
      <c r="G85" s="34" t="s">
        <v>36</v>
      </c>
      <c r="H85" s="34" t="b">
        <v>1</v>
      </c>
      <c r="I85" s="34"/>
      <c r="J85" s="34">
        <v>5290</v>
      </c>
      <c r="K85" s="34">
        <v>343</v>
      </c>
      <c r="L85" s="34">
        <v>1</v>
      </c>
      <c r="M85" s="34">
        <v>1</v>
      </c>
      <c r="N85" s="6" t="s">
        <v>37</v>
      </c>
      <c r="O85" s="34">
        <v>47</v>
      </c>
      <c r="P85" s="34">
        <v>0</v>
      </c>
      <c r="Q85" s="34">
        <v>0</v>
      </c>
      <c r="R85" s="61"/>
    </row>
    <row r="86" spans="1:18">
      <c r="A86" s="61">
        <v>1776165417934</v>
      </c>
      <c r="B86" s="34">
        <v>24</v>
      </c>
      <c r="C86" s="6" t="s">
        <v>39</v>
      </c>
      <c r="D86" s="34">
        <v>200</v>
      </c>
      <c r="E86" s="34" t="s">
        <v>34</v>
      </c>
      <c r="F86" s="34" t="s">
        <v>35</v>
      </c>
      <c r="G86" s="34" t="s">
        <v>36</v>
      </c>
      <c r="H86" s="34" t="b">
        <v>1</v>
      </c>
      <c r="I86" s="34"/>
      <c r="J86" s="34">
        <v>218</v>
      </c>
      <c r="K86" s="34">
        <v>386</v>
      </c>
      <c r="L86" s="34">
        <v>1</v>
      </c>
      <c r="M86" s="34">
        <v>1</v>
      </c>
      <c r="N86" s="6" t="s">
        <v>37</v>
      </c>
      <c r="O86" s="34">
        <v>24</v>
      </c>
      <c r="P86" s="34">
        <v>0</v>
      </c>
      <c r="Q86" s="34">
        <v>0</v>
      </c>
      <c r="R86" s="61"/>
    </row>
    <row r="87" spans="1:18" ht="15" thickBot="1">
      <c r="A87" s="62">
        <v>1776165417959</v>
      </c>
      <c r="B87" s="39">
        <v>22</v>
      </c>
      <c r="C87" s="63" t="s">
        <v>40</v>
      </c>
      <c r="D87" s="39">
        <v>200</v>
      </c>
      <c r="E87" s="39" t="s">
        <v>34</v>
      </c>
      <c r="F87" s="39" t="s">
        <v>35</v>
      </c>
      <c r="G87" s="39" t="s">
        <v>36</v>
      </c>
      <c r="H87" s="39" t="b">
        <v>1</v>
      </c>
      <c r="I87" s="39"/>
      <c r="J87" s="39">
        <v>325</v>
      </c>
      <c r="K87" s="39">
        <v>368</v>
      </c>
      <c r="L87" s="39">
        <v>1</v>
      </c>
      <c r="M87" s="39">
        <v>1</v>
      </c>
      <c r="N87" s="63" t="s">
        <v>37</v>
      </c>
      <c r="O87" s="39">
        <v>22</v>
      </c>
      <c r="P87" s="39">
        <v>0</v>
      </c>
      <c r="Q87" s="39">
        <v>0</v>
      </c>
      <c r="R87" s="62"/>
    </row>
    <row r="89" spans="1:18">
      <c r="A89" s="169" t="s">
        <v>64</v>
      </c>
      <c r="B89" s="169"/>
      <c r="C89" s="22" t="s">
        <v>65</v>
      </c>
      <c r="D89" s="24"/>
      <c r="E89" s="9"/>
      <c r="F89" s="9"/>
      <c r="G89" s="9"/>
      <c r="H89" s="9"/>
      <c r="I89" s="9"/>
      <c r="J89" s="9"/>
      <c r="K89" s="9"/>
      <c r="L89" s="9"/>
      <c r="M89" s="9"/>
      <c r="N89" s="15"/>
      <c r="O89" s="9"/>
      <c r="P89" s="9"/>
      <c r="Q89" s="9"/>
      <c r="R89" s="9"/>
    </row>
    <row r="90" spans="1:18">
      <c r="A90" s="168" t="s">
        <v>13</v>
      </c>
      <c r="B90" s="168"/>
      <c r="C90" s="58" t="s">
        <v>66</v>
      </c>
      <c r="D90" s="24"/>
      <c r="E90" s="9"/>
      <c r="F90" s="9"/>
      <c r="G90" s="9"/>
      <c r="H90" s="9"/>
      <c r="I90" s="9"/>
      <c r="J90" s="9"/>
      <c r="K90" s="9"/>
      <c r="L90" s="9"/>
      <c r="M90" s="9"/>
      <c r="N90" s="15"/>
      <c r="O90" s="9"/>
      <c r="P90" s="9"/>
      <c r="Q90" s="9"/>
      <c r="R90" s="9"/>
    </row>
    <row r="91" spans="1:18">
      <c r="A91" s="64"/>
      <c r="B91" s="64"/>
      <c r="D91" s="9"/>
      <c r="E91" s="9"/>
      <c r="F91" s="9"/>
      <c r="G91" s="9"/>
      <c r="H91" s="9"/>
      <c r="I91" s="9"/>
      <c r="J91" s="9"/>
      <c r="K91" s="9"/>
      <c r="L91" s="9"/>
      <c r="M91" s="9"/>
      <c r="N91" s="15"/>
      <c r="O91" s="9"/>
      <c r="P91" s="9"/>
      <c r="Q91" s="9"/>
      <c r="R91" s="9"/>
    </row>
    <row r="92" spans="1:18">
      <c r="A92" s="59" t="s">
        <v>15</v>
      </c>
      <c r="B92" s="31" t="s">
        <v>16</v>
      </c>
      <c r="C92" s="60" t="s">
        <v>17</v>
      </c>
      <c r="D92" s="31" t="s">
        <v>18</v>
      </c>
      <c r="E92" s="31" t="s">
        <v>19</v>
      </c>
      <c r="F92" s="31" t="s">
        <v>20</v>
      </c>
      <c r="G92" s="31" t="s">
        <v>21</v>
      </c>
      <c r="H92" s="31" t="s">
        <v>22</v>
      </c>
      <c r="I92" s="31" t="s">
        <v>23</v>
      </c>
      <c r="J92" s="31" t="s">
        <v>24</v>
      </c>
      <c r="K92" s="31" t="s">
        <v>25</v>
      </c>
      <c r="L92" s="31" t="s">
        <v>26</v>
      </c>
      <c r="M92" s="31" t="s">
        <v>27</v>
      </c>
      <c r="N92" s="31" t="s">
        <v>28</v>
      </c>
      <c r="O92" s="31" t="s">
        <v>29</v>
      </c>
      <c r="P92" s="31" t="s">
        <v>30</v>
      </c>
      <c r="Q92" s="31" t="s">
        <v>31</v>
      </c>
      <c r="R92" s="31" t="s">
        <v>32</v>
      </c>
    </row>
    <row r="93" spans="1:18">
      <c r="A93" s="61">
        <v>1776168334615</v>
      </c>
      <c r="B93" s="34">
        <v>2475421</v>
      </c>
      <c r="C93" s="6" t="s">
        <v>33</v>
      </c>
      <c r="D93" s="34">
        <v>200</v>
      </c>
      <c r="E93" s="34" t="s">
        <v>34</v>
      </c>
      <c r="F93" s="34" t="s">
        <v>35</v>
      </c>
      <c r="G93" s="34" t="s">
        <v>36</v>
      </c>
      <c r="H93" s="34" t="b">
        <v>1</v>
      </c>
      <c r="I93" s="34"/>
      <c r="J93" s="34">
        <v>207</v>
      </c>
      <c r="K93" s="34">
        <v>473</v>
      </c>
      <c r="L93" s="34">
        <v>1</v>
      </c>
      <c r="M93" s="34">
        <v>1</v>
      </c>
      <c r="N93" s="6" t="s">
        <v>37</v>
      </c>
      <c r="O93" s="34">
        <v>2475421</v>
      </c>
      <c r="P93" s="34">
        <v>0</v>
      </c>
      <c r="Q93" s="34">
        <v>2</v>
      </c>
      <c r="R93" s="61"/>
    </row>
    <row r="94" spans="1:18">
      <c r="A94" s="61">
        <v>1776170810037</v>
      </c>
      <c r="B94" s="34">
        <v>60</v>
      </c>
      <c r="C94" s="6" t="s">
        <v>38</v>
      </c>
      <c r="D94" s="34">
        <v>200</v>
      </c>
      <c r="E94" s="34" t="s">
        <v>34</v>
      </c>
      <c r="F94" s="34" t="s">
        <v>35</v>
      </c>
      <c r="G94" s="34" t="s">
        <v>36</v>
      </c>
      <c r="H94" s="34" t="b">
        <v>1</v>
      </c>
      <c r="I94" s="34"/>
      <c r="J94" s="34">
        <v>5756</v>
      </c>
      <c r="K94" s="34">
        <v>343</v>
      </c>
      <c r="L94" s="34">
        <v>1</v>
      </c>
      <c r="M94" s="34">
        <v>1</v>
      </c>
      <c r="N94" s="6" t="s">
        <v>37</v>
      </c>
      <c r="O94" s="34">
        <v>60</v>
      </c>
      <c r="P94" s="34">
        <v>0</v>
      </c>
      <c r="Q94" s="34">
        <v>2</v>
      </c>
      <c r="R94" s="61"/>
    </row>
    <row r="95" spans="1:18">
      <c r="A95" s="61">
        <v>1776170810122</v>
      </c>
      <c r="B95" s="34">
        <v>173</v>
      </c>
      <c r="C95" s="6" t="s">
        <v>39</v>
      </c>
      <c r="D95" s="34">
        <v>500</v>
      </c>
      <c r="E95" s="55" t="s">
        <v>67</v>
      </c>
      <c r="F95" s="34" t="s">
        <v>35</v>
      </c>
      <c r="G95" s="34" t="s">
        <v>36</v>
      </c>
      <c r="H95" s="34" t="b">
        <v>0</v>
      </c>
      <c r="I95" s="34"/>
      <c r="J95" s="34">
        <v>189</v>
      </c>
      <c r="K95" s="34">
        <v>386</v>
      </c>
      <c r="L95" s="34">
        <v>1</v>
      </c>
      <c r="M95" s="34">
        <v>1</v>
      </c>
      <c r="N95" s="6" t="s">
        <v>37</v>
      </c>
      <c r="O95" s="34">
        <v>173</v>
      </c>
      <c r="P95" s="34">
        <v>0</v>
      </c>
      <c r="Q95" s="34">
        <v>0</v>
      </c>
      <c r="R95" s="61"/>
    </row>
    <row r="96" spans="1:18" ht="15" thickBot="1">
      <c r="A96" s="62">
        <v>1776170810296</v>
      </c>
      <c r="B96" s="39">
        <v>18</v>
      </c>
      <c r="C96" s="63" t="s">
        <v>40</v>
      </c>
      <c r="D96" s="39">
        <v>200</v>
      </c>
      <c r="E96" s="39" t="s">
        <v>34</v>
      </c>
      <c r="F96" s="39" t="s">
        <v>35</v>
      </c>
      <c r="G96" s="39" t="s">
        <v>36</v>
      </c>
      <c r="H96" s="39" t="b">
        <v>1</v>
      </c>
      <c r="I96" s="39"/>
      <c r="J96" s="39">
        <v>676</v>
      </c>
      <c r="K96" s="39">
        <v>372</v>
      </c>
      <c r="L96" s="39">
        <v>1</v>
      </c>
      <c r="M96" s="39">
        <v>1</v>
      </c>
      <c r="N96" s="63" t="s">
        <v>37</v>
      </c>
      <c r="O96" s="39">
        <v>18</v>
      </c>
      <c r="P96" s="39">
        <v>0</v>
      </c>
      <c r="Q96" s="39">
        <v>0</v>
      </c>
      <c r="R96" s="62"/>
    </row>
    <row r="98" spans="1:18">
      <c r="A98" s="169" t="s">
        <v>68</v>
      </c>
      <c r="B98" s="169"/>
      <c r="C98" s="22" t="s">
        <v>69</v>
      </c>
      <c r="D98" s="24"/>
      <c r="E98" s="9"/>
      <c r="F98" s="9"/>
      <c r="G98" s="9"/>
      <c r="H98" s="9"/>
      <c r="I98" s="9"/>
      <c r="J98" s="9"/>
      <c r="K98" s="9"/>
      <c r="L98" s="9"/>
      <c r="M98" s="9"/>
      <c r="N98" s="15"/>
      <c r="O98" s="9"/>
      <c r="P98" s="9"/>
      <c r="Q98" s="9"/>
      <c r="R98" s="9"/>
    </row>
    <row r="99" spans="1:18">
      <c r="A99" s="168" t="s">
        <v>13</v>
      </c>
      <c r="B99" s="168"/>
      <c r="C99" s="58" t="s">
        <v>70</v>
      </c>
      <c r="D99" s="24"/>
      <c r="E99" s="9"/>
      <c r="F99" s="9"/>
      <c r="G99" s="9"/>
      <c r="H99" s="9"/>
      <c r="I99" s="9"/>
      <c r="J99" s="9"/>
      <c r="K99" s="9"/>
      <c r="L99" s="9"/>
      <c r="M99" s="9"/>
      <c r="N99" s="15"/>
      <c r="O99" s="9"/>
      <c r="P99" s="9"/>
      <c r="Q99" s="9"/>
      <c r="R99" s="9"/>
    </row>
    <row r="100" spans="1:18">
      <c r="A100" s="64"/>
      <c r="B100" s="64"/>
      <c r="D100" s="9"/>
      <c r="E100" s="9"/>
      <c r="F100" s="9"/>
      <c r="G100" s="9"/>
      <c r="H100" s="9"/>
      <c r="I100" s="9"/>
      <c r="J100" s="9"/>
      <c r="K100" s="9"/>
      <c r="L100" s="9"/>
      <c r="M100" s="9"/>
      <c r="N100" s="15"/>
      <c r="O100" s="9"/>
      <c r="P100" s="9"/>
      <c r="Q100" s="9"/>
      <c r="R100" s="9"/>
    </row>
    <row r="101" spans="1:18">
      <c r="A101" s="59" t="s">
        <v>15</v>
      </c>
      <c r="B101" s="31" t="s">
        <v>16</v>
      </c>
      <c r="C101" s="60" t="s">
        <v>17</v>
      </c>
      <c r="D101" s="31" t="s">
        <v>18</v>
      </c>
      <c r="E101" s="31" t="s">
        <v>19</v>
      </c>
      <c r="F101" s="31" t="s">
        <v>20</v>
      </c>
      <c r="G101" s="31" t="s">
        <v>21</v>
      </c>
      <c r="H101" s="31" t="s">
        <v>22</v>
      </c>
      <c r="I101" s="31" t="s">
        <v>23</v>
      </c>
      <c r="J101" s="31" t="s">
        <v>24</v>
      </c>
      <c r="K101" s="31" t="s">
        <v>25</v>
      </c>
      <c r="L101" s="31" t="s">
        <v>26</v>
      </c>
      <c r="M101" s="31" t="s">
        <v>27</v>
      </c>
      <c r="N101" s="31" t="s">
        <v>28</v>
      </c>
      <c r="O101" s="31" t="s">
        <v>29</v>
      </c>
      <c r="P101" s="31" t="s">
        <v>30</v>
      </c>
      <c r="Q101" s="31" t="s">
        <v>31</v>
      </c>
      <c r="R101" s="31" t="s">
        <v>32</v>
      </c>
    </row>
    <row r="102" spans="1:18">
      <c r="A102" s="61">
        <v>1776171528317</v>
      </c>
      <c r="B102" s="34">
        <v>78</v>
      </c>
      <c r="C102" s="6" t="s">
        <v>33</v>
      </c>
      <c r="D102" s="34">
        <v>200</v>
      </c>
      <c r="E102" s="34" t="s">
        <v>34</v>
      </c>
      <c r="F102" s="34" t="s">
        <v>35</v>
      </c>
      <c r="G102" s="34" t="s">
        <v>36</v>
      </c>
      <c r="H102" s="34" t="b">
        <v>1</v>
      </c>
      <c r="I102" s="34"/>
      <c r="J102" s="34">
        <v>294</v>
      </c>
      <c r="K102" s="34">
        <v>460</v>
      </c>
      <c r="L102" s="34">
        <v>1</v>
      </c>
      <c r="M102" s="34">
        <v>1</v>
      </c>
      <c r="N102" s="6" t="s">
        <v>37</v>
      </c>
      <c r="O102" s="34">
        <v>78</v>
      </c>
      <c r="P102" s="34">
        <v>0</v>
      </c>
      <c r="Q102" s="34">
        <v>2</v>
      </c>
      <c r="R102" s="65" t="s">
        <v>71</v>
      </c>
    </row>
    <row r="103" spans="1:18">
      <c r="A103" s="61">
        <v>1776171528396</v>
      </c>
      <c r="B103" s="34">
        <v>46</v>
      </c>
      <c r="C103" s="6" t="s">
        <v>38</v>
      </c>
      <c r="D103" s="34">
        <v>200</v>
      </c>
      <c r="E103" s="34" t="s">
        <v>34</v>
      </c>
      <c r="F103" s="34" t="s">
        <v>35</v>
      </c>
      <c r="G103" s="34" t="s">
        <v>36</v>
      </c>
      <c r="H103" s="34" t="b">
        <v>1</v>
      </c>
      <c r="I103" s="34"/>
      <c r="J103" s="34">
        <v>5756</v>
      </c>
      <c r="K103" s="34">
        <v>343</v>
      </c>
      <c r="L103" s="34">
        <v>1</v>
      </c>
      <c r="M103" s="34">
        <v>1</v>
      </c>
      <c r="N103" s="6" t="s">
        <v>37</v>
      </c>
      <c r="O103" s="34">
        <v>46</v>
      </c>
      <c r="P103" s="34">
        <v>0</v>
      </c>
      <c r="Q103" s="34">
        <v>0</v>
      </c>
      <c r="R103" s="61"/>
    </row>
    <row r="104" spans="1:18">
      <c r="A104" s="61">
        <v>1776171528465</v>
      </c>
      <c r="B104" s="34">
        <v>3892</v>
      </c>
      <c r="C104" s="6" t="s">
        <v>39</v>
      </c>
      <c r="D104" s="34" t="s">
        <v>72</v>
      </c>
      <c r="E104" s="34" t="s">
        <v>73</v>
      </c>
      <c r="F104" s="34" t="s">
        <v>35</v>
      </c>
      <c r="G104" s="34" t="s">
        <v>36</v>
      </c>
      <c r="H104" s="34" t="b">
        <v>0</v>
      </c>
      <c r="I104" s="34"/>
      <c r="J104" s="34">
        <v>2706</v>
      </c>
      <c r="K104" s="34">
        <v>0</v>
      </c>
      <c r="L104" s="34">
        <v>1</v>
      </c>
      <c r="M104" s="34">
        <v>1</v>
      </c>
      <c r="N104" s="6" t="s">
        <v>37</v>
      </c>
      <c r="O104" s="34">
        <v>0</v>
      </c>
      <c r="P104" s="34">
        <v>0</v>
      </c>
      <c r="Q104" s="34">
        <v>0</v>
      </c>
      <c r="R104" s="61"/>
    </row>
    <row r="105" spans="1:18" ht="15" thickBot="1">
      <c r="A105" s="62">
        <v>1776171532358</v>
      </c>
      <c r="B105" s="39">
        <v>1</v>
      </c>
      <c r="C105" s="63" t="s">
        <v>40</v>
      </c>
      <c r="D105" s="39" t="s">
        <v>74</v>
      </c>
      <c r="E105" s="39" t="s">
        <v>75</v>
      </c>
      <c r="F105" s="39" t="s">
        <v>35</v>
      </c>
      <c r="G105" s="39" t="s">
        <v>36</v>
      </c>
      <c r="H105" s="39" t="b">
        <v>0</v>
      </c>
      <c r="I105" s="39"/>
      <c r="J105" s="39">
        <v>2631</v>
      </c>
      <c r="K105" s="39">
        <v>0</v>
      </c>
      <c r="L105" s="39">
        <v>1</v>
      </c>
      <c r="M105" s="39">
        <v>1</v>
      </c>
      <c r="N105" s="63" t="s">
        <v>37</v>
      </c>
      <c r="O105" s="39">
        <v>0</v>
      </c>
      <c r="P105" s="39">
        <v>0</v>
      </c>
      <c r="Q105" s="39">
        <v>1</v>
      </c>
      <c r="R105" s="62"/>
    </row>
    <row r="107" spans="1:18">
      <c r="A107" s="169" t="s">
        <v>76</v>
      </c>
      <c r="B107" s="169"/>
      <c r="C107" s="22" t="s">
        <v>77</v>
      </c>
      <c r="D107" s="24"/>
      <c r="E107" s="9"/>
      <c r="F107" s="9"/>
      <c r="G107" s="9"/>
      <c r="H107" s="9"/>
      <c r="I107" s="9"/>
      <c r="J107" s="9"/>
      <c r="K107" s="9"/>
      <c r="L107" s="9"/>
      <c r="M107" s="9"/>
      <c r="N107" s="15"/>
      <c r="O107" s="9"/>
      <c r="P107" s="9"/>
      <c r="Q107" s="9"/>
      <c r="R107" s="9"/>
    </row>
    <row r="108" spans="1:18">
      <c r="A108" s="168" t="s">
        <v>13</v>
      </c>
      <c r="B108" s="168"/>
      <c r="C108" s="58" t="s">
        <v>78</v>
      </c>
      <c r="D108" s="24"/>
      <c r="E108" s="9"/>
      <c r="F108" s="9"/>
      <c r="G108" s="9"/>
      <c r="H108" s="9"/>
      <c r="I108" s="9"/>
      <c r="J108" s="9"/>
      <c r="K108" s="9"/>
      <c r="L108" s="9"/>
      <c r="M108" s="9"/>
      <c r="N108" s="15"/>
      <c r="O108" s="9"/>
      <c r="P108" s="9"/>
      <c r="Q108" s="9"/>
      <c r="R108" s="9"/>
    </row>
    <row r="109" spans="1:18">
      <c r="A109" s="64"/>
      <c r="B109" s="64"/>
      <c r="D109" s="9"/>
      <c r="E109" s="9"/>
      <c r="F109" s="9"/>
      <c r="G109" s="9"/>
      <c r="H109" s="9"/>
      <c r="I109" s="9"/>
      <c r="J109" s="9"/>
      <c r="K109" s="9"/>
      <c r="L109" s="9"/>
      <c r="M109" s="9"/>
      <c r="N109" s="15"/>
      <c r="O109" s="9"/>
      <c r="P109" s="9"/>
      <c r="Q109" s="9"/>
      <c r="R109" s="9"/>
    </row>
    <row r="110" spans="1:18">
      <c r="A110" s="59" t="s">
        <v>15</v>
      </c>
      <c r="B110" s="31" t="s">
        <v>16</v>
      </c>
      <c r="C110" s="60" t="s">
        <v>17</v>
      </c>
      <c r="D110" s="31" t="s">
        <v>18</v>
      </c>
      <c r="E110" s="31" t="s">
        <v>19</v>
      </c>
      <c r="F110" s="31" t="s">
        <v>20</v>
      </c>
      <c r="G110" s="31" t="s">
        <v>21</v>
      </c>
      <c r="H110" s="31" t="s">
        <v>22</v>
      </c>
      <c r="I110" s="31" t="s">
        <v>23</v>
      </c>
      <c r="J110" s="31" t="s">
        <v>24</v>
      </c>
      <c r="K110" s="31" t="s">
        <v>25</v>
      </c>
      <c r="L110" s="31" t="s">
        <v>26</v>
      </c>
      <c r="M110" s="31" t="s">
        <v>27</v>
      </c>
      <c r="N110" s="31" t="s">
        <v>28</v>
      </c>
      <c r="O110" s="31" t="s">
        <v>29</v>
      </c>
      <c r="P110" s="31" t="s">
        <v>30</v>
      </c>
      <c r="Q110" s="31" t="s">
        <v>31</v>
      </c>
      <c r="R110" s="31" t="s">
        <v>32</v>
      </c>
    </row>
    <row r="111" spans="1:18" ht="15" customHeight="1">
      <c r="A111" s="61">
        <v>1776171528317</v>
      </c>
      <c r="B111" s="34">
        <v>78</v>
      </c>
      <c r="C111" s="6" t="s">
        <v>33</v>
      </c>
      <c r="D111" s="34">
        <v>200</v>
      </c>
      <c r="E111" s="34" t="s">
        <v>34</v>
      </c>
      <c r="F111" s="34" t="s">
        <v>35</v>
      </c>
      <c r="G111" s="34" t="s">
        <v>36</v>
      </c>
      <c r="H111" s="34" t="b">
        <v>1</v>
      </c>
      <c r="I111" s="34"/>
      <c r="J111" s="34">
        <v>294</v>
      </c>
      <c r="K111" s="34">
        <v>460</v>
      </c>
      <c r="L111" s="34">
        <v>1</v>
      </c>
      <c r="M111" s="34">
        <v>1</v>
      </c>
      <c r="N111" s="6" t="s">
        <v>37</v>
      </c>
      <c r="O111" s="34">
        <v>78</v>
      </c>
      <c r="P111" s="34">
        <v>0</v>
      </c>
      <c r="Q111" s="34">
        <v>2</v>
      </c>
      <c r="R111" s="65" t="s">
        <v>71</v>
      </c>
    </row>
    <row r="112" spans="1:18">
      <c r="A112" s="61">
        <v>1776171528396</v>
      </c>
      <c r="B112" s="34">
        <v>46</v>
      </c>
      <c r="C112" s="6" t="s">
        <v>38</v>
      </c>
      <c r="D112" s="34">
        <v>200</v>
      </c>
      <c r="E112" s="34" t="s">
        <v>34</v>
      </c>
      <c r="F112" s="34" t="s">
        <v>35</v>
      </c>
      <c r="G112" s="34" t="s">
        <v>36</v>
      </c>
      <c r="H112" s="34" t="b">
        <v>1</v>
      </c>
      <c r="I112" s="34"/>
      <c r="J112" s="34">
        <v>5756</v>
      </c>
      <c r="K112" s="34">
        <v>343</v>
      </c>
      <c r="L112" s="34">
        <v>1</v>
      </c>
      <c r="M112" s="34">
        <v>1</v>
      </c>
      <c r="N112" s="6" t="s">
        <v>37</v>
      </c>
      <c r="O112" s="34">
        <v>46</v>
      </c>
      <c r="P112" s="34">
        <v>0</v>
      </c>
      <c r="Q112" s="34">
        <v>0</v>
      </c>
      <c r="R112" s="61"/>
    </row>
    <row r="113" spans="1:18">
      <c r="A113" s="61">
        <v>1776171528465</v>
      </c>
      <c r="B113" s="34">
        <v>3892</v>
      </c>
      <c r="C113" s="6" t="s">
        <v>39</v>
      </c>
      <c r="D113" s="34" t="s">
        <v>72</v>
      </c>
      <c r="E113" s="34" t="s">
        <v>73</v>
      </c>
      <c r="F113" s="34" t="s">
        <v>35</v>
      </c>
      <c r="G113" s="34" t="s">
        <v>36</v>
      </c>
      <c r="H113" s="34" t="b">
        <v>0</v>
      </c>
      <c r="I113" s="34"/>
      <c r="J113" s="34">
        <v>2706</v>
      </c>
      <c r="K113" s="34">
        <v>0</v>
      </c>
      <c r="L113" s="34">
        <v>1</v>
      </c>
      <c r="M113" s="34">
        <v>1</v>
      </c>
      <c r="N113" s="6" t="s">
        <v>37</v>
      </c>
      <c r="O113" s="34">
        <v>0</v>
      </c>
      <c r="P113" s="34">
        <v>0</v>
      </c>
      <c r="Q113" s="34">
        <v>0</v>
      </c>
      <c r="R113" s="61"/>
    </row>
    <row r="114" spans="1:18" ht="15" thickBot="1">
      <c r="A114" s="62">
        <v>1776171532358</v>
      </c>
      <c r="B114" s="39">
        <v>1</v>
      </c>
      <c r="C114" s="63" t="s">
        <v>40</v>
      </c>
      <c r="D114" s="39" t="s">
        <v>74</v>
      </c>
      <c r="E114" s="39" t="s">
        <v>75</v>
      </c>
      <c r="F114" s="39" t="s">
        <v>35</v>
      </c>
      <c r="G114" s="39" t="s">
        <v>36</v>
      </c>
      <c r="H114" s="39" t="b">
        <v>0</v>
      </c>
      <c r="I114" s="39"/>
      <c r="J114" s="39">
        <v>2631</v>
      </c>
      <c r="K114" s="39">
        <v>0</v>
      </c>
      <c r="L114" s="39">
        <v>1</v>
      </c>
      <c r="M114" s="39">
        <v>1</v>
      </c>
      <c r="N114" s="63" t="s">
        <v>37</v>
      </c>
      <c r="O114" s="39">
        <v>0</v>
      </c>
      <c r="P114" s="39">
        <v>0</v>
      </c>
      <c r="Q114" s="39">
        <v>1</v>
      </c>
      <c r="R114" s="62"/>
    </row>
    <row r="116" spans="1:18">
      <c r="A116" s="169" t="s">
        <v>79</v>
      </c>
      <c r="B116" s="169"/>
      <c r="C116" s="22" t="s">
        <v>80</v>
      </c>
      <c r="D116" s="24"/>
      <c r="E116" s="9"/>
      <c r="F116" s="9"/>
      <c r="G116" s="9"/>
      <c r="H116" s="9"/>
      <c r="I116" s="9"/>
      <c r="J116" s="9"/>
      <c r="K116" s="9"/>
      <c r="L116" s="9"/>
      <c r="M116" s="9"/>
      <c r="N116" s="15"/>
      <c r="O116" s="9"/>
      <c r="P116" s="9"/>
      <c r="Q116" s="9"/>
      <c r="R116" s="9"/>
    </row>
    <row r="117" spans="1:18">
      <c r="A117" s="168" t="s">
        <v>13</v>
      </c>
      <c r="B117" s="168"/>
      <c r="C117" s="58" t="s">
        <v>81</v>
      </c>
      <c r="D117" s="24"/>
      <c r="E117" s="9"/>
      <c r="F117" s="9"/>
      <c r="G117" s="9"/>
      <c r="H117" s="9"/>
      <c r="I117" s="9"/>
      <c r="J117" s="9"/>
      <c r="K117" s="9"/>
      <c r="L117" s="9"/>
      <c r="M117" s="9"/>
      <c r="N117" s="15"/>
      <c r="O117" s="9"/>
      <c r="P117" s="9"/>
      <c r="Q117" s="9"/>
      <c r="R117" s="9"/>
    </row>
    <row r="118" spans="1:18">
      <c r="A118" s="64"/>
      <c r="B118" s="64"/>
      <c r="D118" s="9"/>
      <c r="E118" s="9"/>
      <c r="F118" s="9"/>
      <c r="G118" s="9"/>
      <c r="H118" s="9"/>
      <c r="I118" s="9"/>
      <c r="J118" s="9"/>
      <c r="K118" s="9"/>
      <c r="L118" s="9"/>
      <c r="M118" s="9"/>
      <c r="N118" s="15"/>
      <c r="O118" s="9"/>
      <c r="P118" s="9"/>
      <c r="Q118" s="9"/>
      <c r="R118" s="9"/>
    </row>
    <row r="119" spans="1:18">
      <c r="A119" s="59" t="s">
        <v>15</v>
      </c>
      <c r="B119" s="31" t="s">
        <v>16</v>
      </c>
      <c r="C119" s="60" t="s">
        <v>17</v>
      </c>
      <c r="D119" s="31" t="s">
        <v>18</v>
      </c>
      <c r="E119" s="31" t="s">
        <v>19</v>
      </c>
      <c r="F119" s="31" t="s">
        <v>20</v>
      </c>
      <c r="G119" s="31" t="s">
        <v>21</v>
      </c>
      <c r="H119" s="31" t="s">
        <v>22</v>
      </c>
      <c r="I119" s="31" t="s">
        <v>23</v>
      </c>
      <c r="J119" s="31" t="s">
        <v>24</v>
      </c>
      <c r="K119" s="31" t="s">
        <v>25</v>
      </c>
      <c r="L119" s="31" t="s">
        <v>26</v>
      </c>
      <c r="M119" s="31" t="s">
        <v>27</v>
      </c>
      <c r="N119" s="31" t="s">
        <v>28</v>
      </c>
      <c r="O119" s="31" t="s">
        <v>29</v>
      </c>
      <c r="P119" s="31" t="s">
        <v>30</v>
      </c>
      <c r="Q119" s="31" t="s">
        <v>31</v>
      </c>
      <c r="R119" s="31" t="s">
        <v>32</v>
      </c>
    </row>
    <row r="120" spans="1:18">
      <c r="A120" s="61">
        <v>1776173577938</v>
      </c>
      <c r="B120" s="34">
        <v>2797802</v>
      </c>
      <c r="C120" s="6" t="s">
        <v>33</v>
      </c>
      <c r="D120" s="34">
        <v>200</v>
      </c>
      <c r="E120" s="34" t="s">
        <v>34</v>
      </c>
      <c r="F120" s="34" t="s">
        <v>35</v>
      </c>
      <c r="G120" s="34" t="s">
        <v>36</v>
      </c>
      <c r="H120" s="34" t="b">
        <v>1</v>
      </c>
      <c r="I120" s="34"/>
      <c r="J120" s="34">
        <v>207</v>
      </c>
      <c r="K120" s="34">
        <v>460</v>
      </c>
      <c r="L120" s="34">
        <v>1</v>
      </c>
      <c r="M120" s="34">
        <v>1</v>
      </c>
      <c r="N120" s="6" t="s">
        <v>37</v>
      </c>
      <c r="O120" s="34">
        <v>2797802</v>
      </c>
      <c r="P120" s="34">
        <v>0</v>
      </c>
      <c r="Q120" s="34">
        <v>2</v>
      </c>
      <c r="R120" s="61"/>
    </row>
    <row r="121" spans="1:18">
      <c r="A121" s="61">
        <v>1776176375741</v>
      </c>
      <c r="B121" s="34">
        <v>62</v>
      </c>
      <c r="C121" s="6" t="s">
        <v>38</v>
      </c>
      <c r="D121" s="34">
        <v>200</v>
      </c>
      <c r="E121" s="34" t="s">
        <v>34</v>
      </c>
      <c r="F121" s="34" t="s">
        <v>35</v>
      </c>
      <c r="G121" s="34" t="s">
        <v>36</v>
      </c>
      <c r="H121" s="34" t="b">
        <v>1</v>
      </c>
      <c r="I121" s="34"/>
      <c r="J121" s="34">
        <v>6652</v>
      </c>
      <c r="K121" s="34">
        <v>343</v>
      </c>
      <c r="L121" s="34">
        <v>1</v>
      </c>
      <c r="M121" s="34">
        <v>1</v>
      </c>
      <c r="N121" s="6" t="s">
        <v>37</v>
      </c>
      <c r="O121" s="34">
        <v>62</v>
      </c>
      <c r="P121" s="34">
        <v>0</v>
      </c>
      <c r="Q121" s="34">
        <v>2</v>
      </c>
      <c r="R121" s="61"/>
    </row>
    <row r="122" spans="1:18">
      <c r="A122" s="61">
        <v>1776176375873</v>
      </c>
      <c r="B122" s="34">
        <v>57</v>
      </c>
      <c r="C122" s="6" t="s">
        <v>39</v>
      </c>
      <c r="D122" s="34">
        <v>200</v>
      </c>
      <c r="E122" s="34" t="s">
        <v>34</v>
      </c>
      <c r="F122" s="34" t="s">
        <v>35</v>
      </c>
      <c r="G122" s="34" t="s">
        <v>36</v>
      </c>
      <c r="H122" s="34" t="b">
        <v>1</v>
      </c>
      <c r="I122" s="34"/>
      <c r="J122" s="34">
        <v>41169</v>
      </c>
      <c r="K122" s="34">
        <v>386</v>
      </c>
      <c r="L122" s="34">
        <v>1</v>
      </c>
      <c r="M122" s="34">
        <v>1</v>
      </c>
      <c r="N122" s="6" t="s">
        <v>37</v>
      </c>
      <c r="O122" s="34">
        <v>57</v>
      </c>
      <c r="P122" s="34">
        <v>0</v>
      </c>
      <c r="Q122" s="34">
        <v>0</v>
      </c>
      <c r="R122" s="61"/>
    </row>
    <row r="123" spans="1:18">
      <c r="A123" s="61">
        <v>1776176375931</v>
      </c>
      <c r="B123" s="34">
        <v>20</v>
      </c>
      <c r="C123" s="6" t="s">
        <v>40</v>
      </c>
      <c r="D123" s="34">
        <v>200</v>
      </c>
      <c r="E123" s="34" t="s">
        <v>34</v>
      </c>
      <c r="F123" s="34" t="s">
        <v>35</v>
      </c>
      <c r="G123" s="34" t="s">
        <v>36</v>
      </c>
      <c r="H123" s="34" t="b">
        <v>1</v>
      </c>
      <c r="I123" s="34"/>
      <c r="J123" s="34">
        <v>676</v>
      </c>
      <c r="K123" s="34">
        <v>371</v>
      </c>
      <c r="L123" s="34">
        <v>1</v>
      </c>
      <c r="M123" s="34">
        <v>1</v>
      </c>
      <c r="N123" s="6" t="s">
        <v>37</v>
      </c>
      <c r="O123" s="34">
        <v>20</v>
      </c>
      <c r="P123" s="34">
        <v>0</v>
      </c>
      <c r="Q123" s="34">
        <v>0</v>
      </c>
      <c r="R123" s="61"/>
    </row>
    <row r="125" spans="1:18">
      <c r="A125" s="169" t="s">
        <v>82</v>
      </c>
      <c r="B125" s="169"/>
      <c r="C125" s="22" t="s">
        <v>83</v>
      </c>
      <c r="D125" s="24"/>
      <c r="E125" s="9"/>
      <c r="F125" s="9"/>
      <c r="G125" s="9"/>
      <c r="H125" s="9"/>
      <c r="I125" s="9"/>
      <c r="J125" s="9"/>
      <c r="K125" s="9"/>
      <c r="L125" s="9"/>
      <c r="M125" s="9"/>
      <c r="N125" s="15"/>
      <c r="O125" s="9"/>
      <c r="P125" s="9"/>
      <c r="Q125" s="9"/>
      <c r="R125" s="9"/>
    </row>
    <row r="126" spans="1:18">
      <c r="A126" s="168" t="s">
        <v>13</v>
      </c>
      <c r="B126" s="168"/>
      <c r="C126" s="58" t="s">
        <v>84</v>
      </c>
      <c r="D126" s="24"/>
      <c r="E126" s="9"/>
      <c r="F126" s="9"/>
      <c r="G126" s="9"/>
      <c r="H126" s="9"/>
      <c r="I126" s="9"/>
      <c r="J126" s="9"/>
      <c r="K126" s="9"/>
      <c r="L126" s="9"/>
      <c r="M126" s="9"/>
      <c r="N126" s="15"/>
      <c r="O126" s="9"/>
      <c r="P126" s="9"/>
      <c r="Q126" s="9"/>
      <c r="R126" s="9"/>
    </row>
    <row r="127" spans="1:18">
      <c r="A127" s="64"/>
      <c r="B127" s="64"/>
      <c r="D127" s="9"/>
      <c r="E127" s="9"/>
      <c r="F127" s="9"/>
      <c r="G127" s="9"/>
      <c r="H127" s="9"/>
      <c r="I127" s="9"/>
      <c r="J127" s="9"/>
      <c r="K127" s="9"/>
      <c r="L127" s="9"/>
      <c r="M127" s="9"/>
      <c r="N127" s="15"/>
      <c r="O127" s="9"/>
      <c r="P127" s="9"/>
      <c r="Q127" s="9"/>
      <c r="R127" s="9"/>
    </row>
    <row r="128" spans="1:18">
      <c r="A128" s="59" t="s">
        <v>15</v>
      </c>
      <c r="B128" s="31" t="s">
        <v>16</v>
      </c>
      <c r="C128" s="60" t="s">
        <v>17</v>
      </c>
      <c r="D128" s="31" t="s">
        <v>18</v>
      </c>
      <c r="E128" s="31" t="s">
        <v>19</v>
      </c>
      <c r="F128" s="31" t="s">
        <v>20</v>
      </c>
      <c r="G128" s="31" t="s">
        <v>21</v>
      </c>
      <c r="H128" s="31" t="s">
        <v>22</v>
      </c>
      <c r="I128" s="31" t="s">
        <v>23</v>
      </c>
      <c r="J128" s="31" t="s">
        <v>24</v>
      </c>
      <c r="K128" s="31" t="s">
        <v>25</v>
      </c>
      <c r="L128" s="31" t="s">
        <v>26</v>
      </c>
      <c r="M128" s="31" t="s">
        <v>27</v>
      </c>
      <c r="N128" s="31" t="s">
        <v>28</v>
      </c>
      <c r="O128" s="31" t="s">
        <v>29</v>
      </c>
      <c r="P128" s="31" t="s">
        <v>30</v>
      </c>
      <c r="Q128" s="31" t="s">
        <v>31</v>
      </c>
      <c r="R128" s="31" t="s">
        <v>32</v>
      </c>
    </row>
    <row r="129" spans="1:18">
      <c r="A129" s="61">
        <v>1776176706779</v>
      </c>
      <c r="B129" s="34">
        <v>1959620</v>
      </c>
      <c r="C129" s="6" t="s">
        <v>33</v>
      </c>
      <c r="D129" s="34">
        <v>200</v>
      </c>
      <c r="E129" s="34" t="s">
        <v>34</v>
      </c>
      <c r="F129" s="34" t="s">
        <v>35</v>
      </c>
      <c r="G129" s="34" t="s">
        <v>36</v>
      </c>
      <c r="H129" s="34" t="b">
        <v>1</v>
      </c>
      <c r="I129" s="34"/>
      <c r="J129" s="34">
        <v>207</v>
      </c>
      <c r="K129" s="34">
        <v>471</v>
      </c>
      <c r="L129" s="34">
        <v>1</v>
      </c>
      <c r="M129" s="34">
        <v>1</v>
      </c>
      <c r="N129" s="6" t="s">
        <v>37</v>
      </c>
      <c r="O129" s="34">
        <v>1959620</v>
      </c>
      <c r="P129" s="34">
        <v>0</v>
      </c>
      <c r="Q129" s="34">
        <v>2</v>
      </c>
      <c r="R129" s="61"/>
    </row>
    <row r="130" spans="1:18" ht="14.1" customHeight="1">
      <c r="A130" s="61">
        <v>1776178666400</v>
      </c>
      <c r="B130" s="34">
        <v>55</v>
      </c>
      <c r="C130" s="6" t="s">
        <v>38</v>
      </c>
      <c r="D130" s="34">
        <v>200</v>
      </c>
      <c r="E130" s="34" t="s">
        <v>34</v>
      </c>
      <c r="F130" s="34" t="s">
        <v>35</v>
      </c>
      <c r="G130" s="34" t="s">
        <v>36</v>
      </c>
      <c r="H130" s="34" t="b">
        <v>1</v>
      </c>
      <c r="I130" s="34"/>
      <c r="J130" s="34">
        <v>7113</v>
      </c>
      <c r="K130" s="34">
        <v>343</v>
      </c>
      <c r="L130" s="34">
        <v>1</v>
      </c>
      <c r="M130" s="34">
        <v>1</v>
      </c>
      <c r="N130" s="6" t="s">
        <v>37</v>
      </c>
      <c r="O130" s="34">
        <v>55</v>
      </c>
      <c r="P130" s="34">
        <v>0</v>
      </c>
      <c r="Q130" s="34">
        <v>2</v>
      </c>
      <c r="R130" s="61"/>
    </row>
    <row r="131" spans="1:18">
      <c r="A131" s="61">
        <v>1776178666490</v>
      </c>
      <c r="B131" s="34">
        <v>160</v>
      </c>
      <c r="C131" s="6" t="s">
        <v>39</v>
      </c>
      <c r="D131" s="34">
        <v>200</v>
      </c>
      <c r="E131" s="34" t="s">
        <v>34</v>
      </c>
      <c r="F131" s="34" t="s">
        <v>35</v>
      </c>
      <c r="G131" s="34" t="s">
        <v>36</v>
      </c>
      <c r="H131" s="34" t="b">
        <v>1</v>
      </c>
      <c r="I131" s="34"/>
      <c r="J131" s="34">
        <v>126228</v>
      </c>
      <c r="K131" s="34">
        <v>386</v>
      </c>
      <c r="L131" s="34">
        <v>1</v>
      </c>
      <c r="M131" s="34">
        <v>1</v>
      </c>
      <c r="N131" s="6" t="s">
        <v>37</v>
      </c>
      <c r="O131" s="34">
        <v>160</v>
      </c>
      <c r="P131" s="34">
        <v>0</v>
      </c>
      <c r="Q131" s="34">
        <v>0</v>
      </c>
      <c r="R131" s="61"/>
    </row>
    <row r="132" spans="1:18" ht="15" thickBot="1">
      <c r="A132" s="62">
        <v>1776178666651</v>
      </c>
      <c r="B132" s="39">
        <v>22</v>
      </c>
      <c r="C132" s="63" t="s">
        <v>40</v>
      </c>
      <c r="D132" s="39">
        <v>200</v>
      </c>
      <c r="E132" s="39" t="s">
        <v>34</v>
      </c>
      <c r="F132" s="39" t="s">
        <v>35</v>
      </c>
      <c r="G132" s="39" t="s">
        <v>36</v>
      </c>
      <c r="H132" s="39" t="b">
        <v>1</v>
      </c>
      <c r="I132" s="39"/>
      <c r="J132" s="39">
        <v>676</v>
      </c>
      <c r="K132" s="39">
        <v>372</v>
      </c>
      <c r="L132" s="39">
        <v>1</v>
      </c>
      <c r="M132" s="39">
        <v>1</v>
      </c>
      <c r="N132" s="63" t="s">
        <v>37</v>
      </c>
      <c r="O132" s="39">
        <v>22</v>
      </c>
      <c r="P132" s="39">
        <v>0</v>
      </c>
      <c r="Q132" s="39">
        <v>0</v>
      </c>
      <c r="R132" s="62"/>
    </row>
    <row r="134" spans="1:18">
      <c r="A134" s="169" t="s">
        <v>85</v>
      </c>
      <c r="B134" s="169"/>
      <c r="C134" s="22" t="s">
        <v>86</v>
      </c>
      <c r="D134" s="24"/>
      <c r="E134" s="9"/>
      <c r="F134" s="9"/>
      <c r="G134" s="9"/>
      <c r="H134" s="9"/>
      <c r="I134" s="9"/>
      <c r="J134" s="9"/>
      <c r="K134" s="9"/>
      <c r="L134" s="9"/>
      <c r="M134" s="9"/>
      <c r="N134" s="15"/>
      <c r="O134" s="9"/>
      <c r="P134" s="9"/>
      <c r="Q134" s="9"/>
      <c r="R134" s="9"/>
    </row>
    <row r="135" spans="1:18">
      <c r="A135" s="168" t="s">
        <v>13</v>
      </c>
      <c r="B135" s="168"/>
      <c r="C135" s="58" t="s">
        <v>87</v>
      </c>
      <c r="D135" s="24"/>
      <c r="E135" s="9"/>
      <c r="F135" s="9"/>
      <c r="G135" s="9"/>
      <c r="H135" s="9"/>
      <c r="I135" s="9"/>
      <c r="J135" s="9"/>
      <c r="K135" s="9"/>
      <c r="L135" s="9"/>
      <c r="M135" s="9"/>
      <c r="N135" s="15"/>
      <c r="O135" s="9"/>
      <c r="P135" s="9"/>
      <c r="Q135" s="9"/>
      <c r="R135" s="9"/>
    </row>
    <row r="136" spans="1:18">
      <c r="A136" s="64"/>
      <c r="B136" s="64"/>
      <c r="D136" s="9"/>
      <c r="E136" s="9"/>
      <c r="F136" s="9"/>
      <c r="G136" s="9"/>
      <c r="H136" s="9"/>
      <c r="I136" s="9"/>
      <c r="J136" s="9"/>
      <c r="K136" s="9"/>
      <c r="L136" s="9"/>
      <c r="M136" s="9"/>
      <c r="N136" s="15"/>
      <c r="O136" s="9"/>
      <c r="P136" s="9"/>
      <c r="Q136" s="9"/>
      <c r="R136" s="9"/>
    </row>
    <row r="137" spans="1:18">
      <c r="A137" s="59" t="s">
        <v>15</v>
      </c>
      <c r="B137" s="31" t="s">
        <v>16</v>
      </c>
      <c r="C137" s="60" t="s">
        <v>17</v>
      </c>
      <c r="D137" s="31" t="s">
        <v>18</v>
      </c>
      <c r="E137" s="31" t="s">
        <v>19</v>
      </c>
      <c r="F137" s="31" t="s">
        <v>20</v>
      </c>
      <c r="G137" s="31" t="s">
        <v>21</v>
      </c>
      <c r="H137" s="31" t="s">
        <v>22</v>
      </c>
      <c r="I137" s="31" t="s">
        <v>23</v>
      </c>
      <c r="J137" s="31" t="s">
        <v>24</v>
      </c>
      <c r="K137" s="31" t="s">
        <v>25</v>
      </c>
      <c r="L137" s="31" t="s">
        <v>26</v>
      </c>
      <c r="M137" s="31" t="s">
        <v>27</v>
      </c>
      <c r="N137" s="31" t="s">
        <v>28</v>
      </c>
      <c r="O137" s="31" t="s">
        <v>29</v>
      </c>
      <c r="P137" s="31" t="s">
        <v>30</v>
      </c>
      <c r="Q137" s="31" t="s">
        <v>31</v>
      </c>
      <c r="R137" s="31" t="s">
        <v>32</v>
      </c>
    </row>
    <row r="138" spans="1:18" ht="14.1" customHeight="1">
      <c r="A138" s="61">
        <v>1776179381053</v>
      </c>
      <c r="B138" s="34">
        <v>194409</v>
      </c>
      <c r="C138" s="6" t="s">
        <v>33</v>
      </c>
      <c r="D138" s="34">
        <v>200</v>
      </c>
      <c r="E138" s="34" t="s">
        <v>34</v>
      </c>
      <c r="F138" s="34" t="s">
        <v>35</v>
      </c>
      <c r="G138" s="34" t="s">
        <v>36</v>
      </c>
      <c r="H138" s="34" t="b">
        <v>1</v>
      </c>
      <c r="I138" s="34"/>
      <c r="J138" s="34">
        <v>207</v>
      </c>
      <c r="K138" s="34">
        <v>471</v>
      </c>
      <c r="L138" s="34">
        <v>1</v>
      </c>
      <c r="M138" s="34">
        <v>1</v>
      </c>
      <c r="N138" s="6" t="s">
        <v>37</v>
      </c>
      <c r="O138" s="34">
        <v>194409</v>
      </c>
      <c r="P138" s="34">
        <v>0</v>
      </c>
      <c r="Q138" s="34">
        <v>1</v>
      </c>
      <c r="R138" s="61"/>
    </row>
    <row r="139" spans="1:18" ht="14.1" customHeight="1">
      <c r="A139" s="61">
        <v>1776179575463</v>
      </c>
      <c r="B139" s="34">
        <v>63</v>
      </c>
      <c r="C139" s="6" t="s">
        <v>38</v>
      </c>
      <c r="D139" s="34">
        <v>200</v>
      </c>
      <c r="E139" s="34" t="s">
        <v>34</v>
      </c>
      <c r="F139" s="34" t="s">
        <v>35</v>
      </c>
      <c r="G139" s="34" t="s">
        <v>36</v>
      </c>
      <c r="H139" s="34" t="b">
        <v>1</v>
      </c>
      <c r="I139" s="34"/>
      <c r="J139" s="34">
        <v>7573</v>
      </c>
      <c r="K139" s="34">
        <v>343</v>
      </c>
      <c r="L139" s="34">
        <v>1</v>
      </c>
      <c r="M139" s="34">
        <v>1</v>
      </c>
      <c r="N139" s="6" t="s">
        <v>37</v>
      </c>
      <c r="O139" s="34">
        <v>63</v>
      </c>
      <c r="P139" s="34">
        <v>0</v>
      </c>
      <c r="Q139" s="34">
        <v>2</v>
      </c>
      <c r="R139" s="61"/>
    </row>
    <row r="140" spans="1:18" ht="14.1" customHeight="1">
      <c r="A140" s="61">
        <v>1776179575561</v>
      </c>
      <c r="B140" s="34">
        <v>29</v>
      </c>
      <c r="C140" s="6" t="s">
        <v>39</v>
      </c>
      <c r="D140" s="34">
        <v>200</v>
      </c>
      <c r="E140" s="34" t="s">
        <v>34</v>
      </c>
      <c r="F140" s="34" t="s">
        <v>35</v>
      </c>
      <c r="G140" s="34" t="s">
        <v>36</v>
      </c>
      <c r="H140" s="34" t="b">
        <v>1</v>
      </c>
      <c r="I140" s="34"/>
      <c r="J140" s="34">
        <v>12539</v>
      </c>
      <c r="K140" s="34">
        <v>386</v>
      </c>
      <c r="L140" s="34">
        <v>1</v>
      </c>
      <c r="M140" s="34">
        <v>1</v>
      </c>
      <c r="N140" s="6" t="s">
        <v>37</v>
      </c>
      <c r="O140" s="34">
        <v>29</v>
      </c>
      <c r="P140" s="34">
        <v>0</v>
      </c>
      <c r="Q140" s="34">
        <v>0</v>
      </c>
      <c r="R140" s="61"/>
    </row>
    <row r="141" spans="1:18" ht="14.1" customHeight="1" thickBot="1">
      <c r="A141" s="62">
        <v>1776179575591</v>
      </c>
      <c r="B141" s="39">
        <v>19</v>
      </c>
      <c r="C141" s="63" t="s">
        <v>40</v>
      </c>
      <c r="D141" s="39">
        <v>200</v>
      </c>
      <c r="E141" s="39" t="s">
        <v>34</v>
      </c>
      <c r="F141" s="39" t="s">
        <v>35</v>
      </c>
      <c r="G141" s="39" t="s">
        <v>36</v>
      </c>
      <c r="H141" s="39" t="b">
        <v>1</v>
      </c>
      <c r="I141" s="39"/>
      <c r="J141" s="39">
        <v>676</v>
      </c>
      <c r="K141" s="39">
        <v>371</v>
      </c>
      <c r="L141" s="39">
        <v>1</v>
      </c>
      <c r="M141" s="39">
        <v>1</v>
      </c>
      <c r="N141" s="63" t="s">
        <v>37</v>
      </c>
      <c r="O141" s="39">
        <v>19</v>
      </c>
      <c r="P141" s="39">
        <v>0</v>
      </c>
      <c r="Q141" s="39">
        <v>0</v>
      </c>
      <c r="R141" s="62"/>
    </row>
    <row r="143" spans="1:18">
      <c r="A143" s="169" t="s">
        <v>88</v>
      </c>
      <c r="B143" s="169"/>
      <c r="C143" s="22" t="s">
        <v>89</v>
      </c>
      <c r="D143" s="24"/>
      <c r="E143" s="9"/>
      <c r="F143" s="9"/>
      <c r="G143" s="9"/>
      <c r="H143" s="9"/>
      <c r="I143" s="9"/>
      <c r="J143" s="9"/>
      <c r="K143" s="9"/>
      <c r="L143" s="9"/>
      <c r="M143" s="9"/>
      <c r="N143" s="15"/>
      <c r="O143" s="9"/>
      <c r="P143" s="9"/>
      <c r="Q143" s="9"/>
      <c r="R143" s="9"/>
    </row>
    <row r="144" spans="1:18">
      <c r="A144" s="168" t="s">
        <v>13</v>
      </c>
      <c r="B144" s="168"/>
      <c r="C144" s="58" t="s">
        <v>90</v>
      </c>
      <c r="D144" s="24"/>
      <c r="E144" s="9"/>
      <c r="F144" s="9"/>
      <c r="G144" s="9"/>
      <c r="H144" s="9"/>
      <c r="I144" s="9"/>
      <c r="J144" s="9"/>
      <c r="K144" s="9"/>
      <c r="L144" s="9"/>
      <c r="M144" s="9"/>
      <c r="N144" s="15"/>
      <c r="O144" s="9"/>
      <c r="P144" s="9"/>
      <c r="Q144" s="9"/>
      <c r="R144" s="9"/>
    </row>
    <row r="145" spans="1:18">
      <c r="A145" s="64"/>
      <c r="B145" s="64"/>
      <c r="D145" s="9"/>
      <c r="E145" s="9"/>
      <c r="F145" s="9"/>
      <c r="G145" s="9"/>
      <c r="H145" s="9"/>
      <c r="I145" s="9"/>
      <c r="J145" s="9"/>
      <c r="K145" s="9"/>
      <c r="L145" s="9"/>
      <c r="M145" s="9"/>
      <c r="N145" s="15"/>
      <c r="O145" s="9"/>
      <c r="P145" s="9"/>
      <c r="Q145" s="9"/>
      <c r="R145" s="9"/>
    </row>
    <row r="146" spans="1:18">
      <c r="A146" s="59" t="s">
        <v>15</v>
      </c>
      <c r="B146" s="31" t="s">
        <v>16</v>
      </c>
      <c r="C146" s="60" t="s">
        <v>17</v>
      </c>
      <c r="D146" s="31" t="s">
        <v>18</v>
      </c>
      <c r="E146" s="31" t="s">
        <v>19</v>
      </c>
      <c r="F146" s="31" t="s">
        <v>20</v>
      </c>
      <c r="G146" s="31" t="s">
        <v>21</v>
      </c>
      <c r="H146" s="31" t="s">
        <v>22</v>
      </c>
      <c r="I146" s="31" t="s">
        <v>23</v>
      </c>
      <c r="J146" s="31" t="s">
        <v>24</v>
      </c>
      <c r="K146" s="31" t="s">
        <v>25</v>
      </c>
      <c r="L146" s="31" t="s">
        <v>26</v>
      </c>
      <c r="M146" s="31" t="s">
        <v>27</v>
      </c>
      <c r="N146" s="31" t="s">
        <v>28</v>
      </c>
      <c r="O146" s="31" t="s">
        <v>29</v>
      </c>
      <c r="P146" s="31" t="s">
        <v>30</v>
      </c>
      <c r="Q146" s="31" t="s">
        <v>31</v>
      </c>
      <c r="R146" s="31" t="s">
        <v>32</v>
      </c>
    </row>
    <row r="147" spans="1:18" ht="14.1" customHeight="1">
      <c r="A147" s="61">
        <v>1776180072050</v>
      </c>
      <c r="B147" s="34">
        <v>246270</v>
      </c>
      <c r="C147" s="6" t="s">
        <v>33</v>
      </c>
      <c r="D147" s="34">
        <v>200</v>
      </c>
      <c r="E147" s="34" t="s">
        <v>34</v>
      </c>
      <c r="F147" s="34" t="s">
        <v>35</v>
      </c>
      <c r="G147" s="34" t="s">
        <v>36</v>
      </c>
      <c r="H147" s="34" t="b">
        <v>1</v>
      </c>
      <c r="I147" s="34"/>
      <c r="J147" s="34">
        <v>207</v>
      </c>
      <c r="K147" s="34">
        <v>469</v>
      </c>
      <c r="L147" s="34">
        <v>1</v>
      </c>
      <c r="M147" s="34">
        <v>1</v>
      </c>
      <c r="N147" s="6" t="s">
        <v>37</v>
      </c>
      <c r="O147" s="34">
        <v>246270</v>
      </c>
      <c r="P147" s="34">
        <v>0</v>
      </c>
      <c r="Q147" s="34">
        <v>2</v>
      </c>
      <c r="R147" s="61"/>
    </row>
    <row r="148" spans="1:18" ht="14.1" customHeight="1">
      <c r="A148" s="61">
        <v>1776180318320</v>
      </c>
      <c r="B148" s="34">
        <v>51</v>
      </c>
      <c r="C148" s="6" t="s">
        <v>38</v>
      </c>
      <c r="D148" s="34">
        <v>200</v>
      </c>
      <c r="E148" s="34" t="s">
        <v>34</v>
      </c>
      <c r="F148" s="34" t="s">
        <v>35</v>
      </c>
      <c r="G148" s="34" t="s">
        <v>36</v>
      </c>
      <c r="H148" s="34" t="b">
        <v>1</v>
      </c>
      <c r="I148" s="34"/>
      <c r="J148" s="34">
        <v>8029</v>
      </c>
      <c r="K148" s="34">
        <v>343</v>
      </c>
      <c r="L148" s="34">
        <v>1</v>
      </c>
      <c r="M148" s="34">
        <v>1</v>
      </c>
      <c r="N148" s="6" t="s">
        <v>37</v>
      </c>
      <c r="O148" s="34">
        <v>51</v>
      </c>
      <c r="P148" s="34">
        <v>0</v>
      </c>
      <c r="Q148" s="34">
        <v>2</v>
      </c>
      <c r="R148" s="61"/>
    </row>
    <row r="149" spans="1:18" ht="14.1" customHeight="1">
      <c r="A149" s="61">
        <v>1776180318394</v>
      </c>
      <c r="B149" s="34">
        <v>27</v>
      </c>
      <c r="C149" s="6" t="s">
        <v>39</v>
      </c>
      <c r="D149" s="34">
        <v>200</v>
      </c>
      <c r="E149" s="34" t="s">
        <v>34</v>
      </c>
      <c r="F149" s="34" t="s">
        <v>35</v>
      </c>
      <c r="G149" s="34" t="s">
        <v>36</v>
      </c>
      <c r="H149" s="34" t="b">
        <v>1</v>
      </c>
      <c r="I149" s="34"/>
      <c r="J149" s="34">
        <v>20239</v>
      </c>
      <c r="K149" s="34">
        <v>386</v>
      </c>
      <c r="L149" s="34">
        <v>1</v>
      </c>
      <c r="M149" s="34">
        <v>1</v>
      </c>
      <c r="N149" s="6" t="s">
        <v>37</v>
      </c>
      <c r="O149" s="34">
        <v>27</v>
      </c>
      <c r="P149" s="34">
        <v>0</v>
      </c>
      <c r="Q149" s="34">
        <v>0</v>
      </c>
      <c r="R149" s="61"/>
    </row>
    <row r="150" spans="1:18" ht="14.1" customHeight="1">
      <c r="A150" s="61">
        <v>1776180318422</v>
      </c>
      <c r="B150" s="34">
        <v>27</v>
      </c>
      <c r="C150" s="6" t="s">
        <v>40</v>
      </c>
      <c r="D150" s="34">
        <v>200</v>
      </c>
      <c r="E150" s="34" t="s">
        <v>34</v>
      </c>
      <c r="F150" s="34" t="s">
        <v>35</v>
      </c>
      <c r="G150" s="34" t="s">
        <v>36</v>
      </c>
      <c r="H150" s="34" t="b">
        <v>1</v>
      </c>
      <c r="I150" s="34"/>
      <c r="J150" s="34">
        <v>676</v>
      </c>
      <c r="K150" s="34">
        <v>371</v>
      </c>
      <c r="L150" s="34">
        <v>1</v>
      </c>
      <c r="M150" s="34">
        <v>1</v>
      </c>
      <c r="N150" s="6" t="s">
        <v>37</v>
      </c>
      <c r="O150" s="34">
        <v>27</v>
      </c>
      <c r="P150" s="34">
        <v>0</v>
      </c>
      <c r="Q150" s="34">
        <v>0</v>
      </c>
      <c r="R150" s="61"/>
    </row>
    <row r="152" spans="1:18">
      <c r="A152" s="169" t="s">
        <v>91</v>
      </c>
      <c r="B152" s="169"/>
      <c r="C152" s="22" t="s">
        <v>89</v>
      </c>
      <c r="D152" s="24"/>
      <c r="E152" s="9"/>
      <c r="F152" s="9"/>
      <c r="G152" s="9"/>
      <c r="H152" s="9"/>
      <c r="I152" s="9"/>
      <c r="J152" s="9"/>
      <c r="K152" s="9"/>
      <c r="L152" s="9"/>
      <c r="M152" s="9"/>
      <c r="N152" s="15"/>
      <c r="O152" s="9"/>
      <c r="P152" s="9"/>
      <c r="Q152" s="9"/>
      <c r="R152" s="9"/>
    </row>
    <row r="153" spans="1:18">
      <c r="A153" s="168" t="s">
        <v>13</v>
      </c>
      <c r="B153" s="168"/>
      <c r="C153" s="58" t="s">
        <v>92</v>
      </c>
      <c r="D153" s="24"/>
      <c r="E153" s="9"/>
      <c r="F153" s="9"/>
      <c r="G153" s="9"/>
      <c r="H153" s="9"/>
      <c r="I153" s="9"/>
      <c r="J153" s="9"/>
      <c r="K153" s="9"/>
      <c r="L153" s="9"/>
      <c r="M153" s="9"/>
      <c r="N153" s="15"/>
      <c r="O153" s="9"/>
      <c r="P153" s="9"/>
      <c r="Q153" s="9"/>
      <c r="R153" s="9"/>
    </row>
    <row r="154" spans="1:18">
      <c r="A154" s="64"/>
      <c r="B154" s="64"/>
      <c r="D154" s="9"/>
      <c r="E154" s="9"/>
      <c r="F154" s="9"/>
      <c r="G154" s="9"/>
      <c r="H154" s="9"/>
      <c r="I154" s="9"/>
      <c r="J154" s="9"/>
      <c r="K154" s="9"/>
      <c r="L154" s="9"/>
      <c r="M154" s="9"/>
      <c r="N154" s="15"/>
      <c r="O154" s="9"/>
      <c r="P154" s="9"/>
      <c r="Q154" s="9"/>
      <c r="R154" s="9"/>
    </row>
    <row r="155" spans="1:18">
      <c r="A155" s="59" t="s">
        <v>15</v>
      </c>
      <c r="B155" s="31" t="s">
        <v>16</v>
      </c>
      <c r="C155" s="60" t="s">
        <v>17</v>
      </c>
      <c r="D155" s="31" t="s">
        <v>18</v>
      </c>
      <c r="E155" s="31" t="s">
        <v>19</v>
      </c>
      <c r="F155" s="31" t="s">
        <v>20</v>
      </c>
      <c r="G155" s="31" t="s">
        <v>21</v>
      </c>
      <c r="H155" s="31" t="s">
        <v>22</v>
      </c>
      <c r="I155" s="31" t="s">
        <v>23</v>
      </c>
      <c r="J155" s="31" t="s">
        <v>24</v>
      </c>
      <c r="K155" s="31" t="s">
        <v>25</v>
      </c>
      <c r="L155" s="31" t="s">
        <v>26</v>
      </c>
      <c r="M155" s="31" t="s">
        <v>27</v>
      </c>
      <c r="N155" s="31" t="s">
        <v>28</v>
      </c>
      <c r="O155" s="31" t="s">
        <v>29</v>
      </c>
      <c r="P155" s="31" t="s">
        <v>30</v>
      </c>
      <c r="Q155" s="31" t="s">
        <v>31</v>
      </c>
      <c r="R155" s="31" t="s">
        <v>32</v>
      </c>
    </row>
    <row r="156" spans="1:18" ht="14.1" customHeight="1">
      <c r="A156" s="61">
        <v>1776181620354</v>
      </c>
      <c r="B156" s="34">
        <v>2739</v>
      </c>
      <c r="C156" s="6" t="s">
        <v>33</v>
      </c>
      <c r="D156" s="34">
        <v>200</v>
      </c>
      <c r="E156" s="34" t="s">
        <v>34</v>
      </c>
      <c r="F156" s="34" t="s">
        <v>35</v>
      </c>
      <c r="G156" s="34" t="s">
        <v>36</v>
      </c>
      <c r="H156" s="34" t="b">
        <v>1</v>
      </c>
      <c r="I156" s="34"/>
      <c r="J156" s="34">
        <v>207</v>
      </c>
      <c r="K156" s="34">
        <v>465</v>
      </c>
      <c r="L156" s="34">
        <v>1</v>
      </c>
      <c r="M156" s="34">
        <v>1</v>
      </c>
      <c r="N156" s="6" t="s">
        <v>37</v>
      </c>
      <c r="O156" s="34">
        <v>2739</v>
      </c>
      <c r="P156" s="34">
        <v>0</v>
      </c>
      <c r="Q156" s="34">
        <v>2</v>
      </c>
      <c r="R156" s="61"/>
    </row>
    <row r="157" spans="1:18" ht="14.1" customHeight="1">
      <c r="A157" s="61">
        <v>1776181623094</v>
      </c>
      <c r="B157" s="34">
        <v>45</v>
      </c>
      <c r="C157" s="6" t="s">
        <v>38</v>
      </c>
      <c r="D157" s="34">
        <v>200</v>
      </c>
      <c r="E157" s="34" t="s">
        <v>34</v>
      </c>
      <c r="F157" s="34" t="s">
        <v>35</v>
      </c>
      <c r="G157" s="34" t="s">
        <v>36</v>
      </c>
      <c r="H157" s="34" t="b">
        <v>1</v>
      </c>
      <c r="I157" s="34"/>
      <c r="J157" s="34">
        <v>8473</v>
      </c>
      <c r="K157" s="34">
        <v>343</v>
      </c>
      <c r="L157" s="34">
        <v>1</v>
      </c>
      <c r="M157" s="34">
        <v>1</v>
      </c>
      <c r="N157" s="6" t="s">
        <v>37</v>
      </c>
      <c r="O157" s="34">
        <v>45</v>
      </c>
      <c r="P157" s="34">
        <v>0</v>
      </c>
      <c r="Q157" s="34">
        <v>0</v>
      </c>
      <c r="R157" s="61"/>
    </row>
    <row r="158" spans="1:18" ht="14.1" customHeight="1">
      <c r="A158" s="61">
        <v>1776181623164</v>
      </c>
      <c r="B158" s="34">
        <v>24</v>
      </c>
      <c r="C158" s="6" t="s">
        <v>39</v>
      </c>
      <c r="D158" s="34">
        <v>200</v>
      </c>
      <c r="E158" s="34" t="s">
        <v>34</v>
      </c>
      <c r="F158" s="34" t="s">
        <v>35</v>
      </c>
      <c r="G158" s="34" t="s">
        <v>36</v>
      </c>
      <c r="H158" s="34" t="b">
        <v>1</v>
      </c>
      <c r="I158" s="34"/>
      <c r="J158" s="34">
        <v>220</v>
      </c>
      <c r="K158" s="34">
        <v>386</v>
      </c>
      <c r="L158" s="34">
        <v>1</v>
      </c>
      <c r="M158" s="34">
        <v>1</v>
      </c>
      <c r="N158" s="6" t="s">
        <v>37</v>
      </c>
      <c r="O158" s="34">
        <v>24</v>
      </c>
      <c r="P158" s="34">
        <v>0</v>
      </c>
      <c r="Q158" s="34">
        <v>0</v>
      </c>
      <c r="R158" s="61"/>
    </row>
    <row r="159" spans="1:18" ht="14.1" customHeight="1">
      <c r="A159" s="61">
        <v>1776181623188</v>
      </c>
      <c r="B159" s="34">
        <v>20</v>
      </c>
      <c r="C159" s="6" t="s">
        <v>40</v>
      </c>
      <c r="D159" s="34">
        <v>200</v>
      </c>
      <c r="E159" s="34" t="s">
        <v>34</v>
      </c>
      <c r="F159" s="34" t="s">
        <v>35</v>
      </c>
      <c r="G159" s="34" t="s">
        <v>36</v>
      </c>
      <c r="H159" s="34" t="b">
        <v>1</v>
      </c>
      <c r="I159" s="34"/>
      <c r="J159" s="34">
        <v>325</v>
      </c>
      <c r="K159" s="34">
        <v>368</v>
      </c>
      <c r="L159" s="34">
        <v>1</v>
      </c>
      <c r="M159" s="34">
        <v>1</v>
      </c>
      <c r="N159" s="6" t="s">
        <v>37</v>
      </c>
      <c r="O159" s="34">
        <v>20</v>
      </c>
      <c r="P159" s="34">
        <v>0</v>
      </c>
      <c r="Q159" s="34">
        <v>0</v>
      </c>
      <c r="R159" s="61"/>
    </row>
    <row r="161" spans="1:18">
      <c r="A161" s="169" t="s">
        <v>93</v>
      </c>
      <c r="B161" s="169"/>
      <c r="C161" s="22" t="s">
        <v>94</v>
      </c>
      <c r="D161" s="24"/>
      <c r="E161" s="9"/>
      <c r="F161" s="9"/>
      <c r="G161" s="9"/>
      <c r="H161" s="9"/>
      <c r="I161" s="9"/>
      <c r="J161" s="9"/>
      <c r="K161" s="9"/>
      <c r="L161" s="9"/>
      <c r="M161" s="9"/>
      <c r="N161" s="15"/>
      <c r="O161" s="9"/>
      <c r="P161" s="9"/>
      <c r="Q161" s="9"/>
      <c r="R161" s="9"/>
    </row>
    <row r="162" spans="1:18">
      <c r="A162" s="168" t="s">
        <v>13</v>
      </c>
      <c r="B162" s="168"/>
      <c r="C162" s="58" t="s">
        <v>95</v>
      </c>
      <c r="D162" s="24"/>
      <c r="E162" s="9"/>
      <c r="F162" s="9"/>
      <c r="G162" s="9"/>
      <c r="H162" s="9"/>
      <c r="I162" s="9"/>
      <c r="J162" s="9"/>
      <c r="K162" s="9"/>
      <c r="L162" s="9"/>
      <c r="M162" s="9"/>
      <c r="N162" s="15"/>
      <c r="O162" s="9"/>
      <c r="P162" s="9"/>
      <c r="Q162" s="9"/>
      <c r="R162" s="9"/>
    </row>
    <row r="163" spans="1:18">
      <c r="A163" s="64"/>
      <c r="B163" s="64"/>
      <c r="D163" s="9"/>
      <c r="E163" s="9"/>
      <c r="F163" s="9"/>
      <c r="G163" s="9"/>
      <c r="H163" s="9"/>
      <c r="I163" s="9"/>
      <c r="J163" s="9"/>
      <c r="K163" s="9"/>
      <c r="L163" s="9"/>
      <c r="M163" s="9"/>
      <c r="N163" s="15"/>
      <c r="O163" s="9"/>
      <c r="P163" s="9"/>
      <c r="Q163" s="9"/>
      <c r="R163" s="9"/>
    </row>
    <row r="164" spans="1:18">
      <c r="A164" s="59" t="s">
        <v>15</v>
      </c>
      <c r="B164" s="31" t="s">
        <v>16</v>
      </c>
      <c r="C164" s="60" t="s">
        <v>17</v>
      </c>
      <c r="D164" s="31" t="s">
        <v>18</v>
      </c>
      <c r="E164" s="31" t="s">
        <v>19</v>
      </c>
      <c r="F164" s="31" t="s">
        <v>20</v>
      </c>
      <c r="G164" s="31" t="s">
        <v>21</v>
      </c>
      <c r="H164" s="31" t="s">
        <v>22</v>
      </c>
      <c r="I164" s="31" t="s">
        <v>23</v>
      </c>
      <c r="J164" s="31" t="s">
        <v>24</v>
      </c>
      <c r="K164" s="31" t="s">
        <v>25</v>
      </c>
      <c r="L164" s="31" t="s">
        <v>26</v>
      </c>
      <c r="M164" s="31" t="s">
        <v>27</v>
      </c>
      <c r="N164" s="31" t="s">
        <v>28</v>
      </c>
      <c r="O164" s="31" t="s">
        <v>29</v>
      </c>
      <c r="P164" s="31" t="s">
        <v>30</v>
      </c>
      <c r="Q164" s="31" t="s">
        <v>31</v>
      </c>
      <c r="R164" s="31" t="s">
        <v>32</v>
      </c>
    </row>
    <row r="165" spans="1:18" ht="14.1" customHeight="1">
      <c r="A165" s="61">
        <v>1776183796759</v>
      </c>
      <c r="B165" s="34">
        <v>86057</v>
      </c>
      <c r="C165" s="6" t="s">
        <v>33</v>
      </c>
      <c r="D165" s="34">
        <v>200</v>
      </c>
      <c r="E165" s="34" t="s">
        <v>34</v>
      </c>
      <c r="F165" s="34" t="s">
        <v>35</v>
      </c>
      <c r="G165" s="34" t="s">
        <v>36</v>
      </c>
      <c r="H165" s="34" t="b">
        <v>1</v>
      </c>
      <c r="I165" s="34"/>
      <c r="J165" s="34">
        <v>207</v>
      </c>
      <c r="K165" s="34">
        <v>464</v>
      </c>
      <c r="L165" s="34">
        <v>1</v>
      </c>
      <c r="M165" s="34">
        <v>1</v>
      </c>
      <c r="N165" s="6" t="s">
        <v>37</v>
      </c>
      <c r="O165" s="34">
        <v>86057</v>
      </c>
      <c r="P165" s="34">
        <v>0</v>
      </c>
      <c r="Q165" s="34">
        <v>1</v>
      </c>
      <c r="R165" s="61"/>
    </row>
    <row r="166" spans="1:18" ht="14.1" customHeight="1">
      <c r="A166" s="61">
        <v>1776183882817</v>
      </c>
      <c r="B166" s="34">
        <v>71</v>
      </c>
      <c r="C166" s="6" t="s">
        <v>38</v>
      </c>
      <c r="D166" s="34">
        <v>200</v>
      </c>
      <c r="E166" s="34" t="s">
        <v>34</v>
      </c>
      <c r="F166" s="34" t="s">
        <v>35</v>
      </c>
      <c r="G166" s="34" t="s">
        <v>36</v>
      </c>
      <c r="H166" s="34" t="b">
        <v>1</v>
      </c>
      <c r="I166" s="34"/>
      <c r="J166" s="34">
        <v>8919</v>
      </c>
      <c r="K166" s="34">
        <v>343</v>
      </c>
      <c r="L166" s="34">
        <v>1</v>
      </c>
      <c r="M166" s="34">
        <v>1</v>
      </c>
      <c r="N166" s="6" t="s">
        <v>37</v>
      </c>
      <c r="O166" s="34">
        <v>71</v>
      </c>
      <c r="P166" s="34">
        <v>0</v>
      </c>
      <c r="Q166" s="34">
        <v>1</v>
      </c>
      <c r="R166" s="61"/>
    </row>
    <row r="167" spans="1:18" ht="14.1" customHeight="1">
      <c r="A167" s="61">
        <v>1776183882908</v>
      </c>
      <c r="B167" s="34">
        <v>32</v>
      </c>
      <c r="C167" s="6" t="s">
        <v>39</v>
      </c>
      <c r="D167" s="34">
        <v>200</v>
      </c>
      <c r="E167" s="34" t="s">
        <v>34</v>
      </c>
      <c r="F167" s="34" t="s">
        <v>35</v>
      </c>
      <c r="G167" s="34" t="s">
        <v>36</v>
      </c>
      <c r="H167" s="34" t="b">
        <v>1</v>
      </c>
      <c r="I167" s="34"/>
      <c r="J167" s="34">
        <v>6300</v>
      </c>
      <c r="K167" s="34">
        <v>386</v>
      </c>
      <c r="L167" s="34">
        <v>1</v>
      </c>
      <c r="M167" s="34">
        <v>1</v>
      </c>
      <c r="N167" s="6" t="s">
        <v>37</v>
      </c>
      <c r="O167" s="34">
        <v>32</v>
      </c>
      <c r="P167" s="34">
        <v>0</v>
      </c>
      <c r="Q167" s="34">
        <v>0</v>
      </c>
      <c r="R167" s="61"/>
    </row>
    <row r="168" spans="1:18" ht="14.1" customHeight="1">
      <c r="A168" s="61">
        <v>1776183882941</v>
      </c>
      <c r="B168" s="34">
        <v>22</v>
      </c>
      <c r="C168" s="6" t="s">
        <v>40</v>
      </c>
      <c r="D168" s="34">
        <v>200</v>
      </c>
      <c r="E168" s="34" t="s">
        <v>34</v>
      </c>
      <c r="F168" s="34" t="s">
        <v>35</v>
      </c>
      <c r="G168" s="34" t="s">
        <v>36</v>
      </c>
      <c r="H168" s="34" t="b">
        <v>1</v>
      </c>
      <c r="I168" s="34"/>
      <c r="J168" s="34">
        <v>676</v>
      </c>
      <c r="K168" s="34">
        <v>370</v>
      </c>
      <c r="L168" s="34">
        <v>1</v>
      </c>
      <c r="M168" s="34">
        <v>1</v>
      </c>
      <c r="N168" s="6" t="s">
        <v>37</v>
      </c>
      <c r="O168" s="34">
        <v>21</v>
      </c>
      <c r="P168" s="34">
        <v>0</v>
      </c>
      <c r="Q168" s="34">
        <v>0</v>
      </c>
      <c r="R168" s="61"/>
    </row>
    <row r="170" spans="1:18">
      <c r="A170" s="169" t="s">
        <v>96</v>
      </c>
      <c r="B170" s="169"/>
      <c r="C170" s="22" t="s">
        <v>97</v>
      </c>
      <c r="D170" s="24"/>
      <c r="E170" s="9"/>
      <c r="F170" s="9"/>
      <c r="G170" s="9"/>
      <c r="H170" s="9"/>
      <c r="I170" s="9"/>
      <c r="J170" s="9"/>
      <c r="K170" s="9"/>
      <c r="L170" s="9"/>
      <c r="M170" s="9"/>
      <c r="N170" s="15"/>
      <c r="O170" s="9"/>
      <c r="P170" s="9"/>
      <c r="Q170" s="9"/>
      <c r="R170" s="9"/>
    </row>
    <row r="171" spans="1:18">
      <c r="A171" s="168" t="s">
        <v>13</v>
      </c>
      <c r="B171" s="168"/>
      <c r="C171" s="58" t="s">
        <v>98</v>
      </c>
      <c r="D171" s="24"/>
      <c r="E171" s="9"/>
      <c r="F171" s="9"/>
      <c r="G171" s="9"/>
      <c r="H171" s="9"/>
      <c r="I171" s="9"/>
      <c r="J171" s="9"/>
      <c r="K171" s="9"/>
      <c r="L171" s="9"/>
      <c r="M171" s="9"/>
      <c r="N171" s="15"/>
      <c r="O171" s="9"/>
      <c r="P171" s="9"/>
      <c r="Q171" s="9"/>
      <c r="R171" s="9"/>
    </row>
    <row r="172" spans="1:18">
      <c r="A172" s="64"/>
      <c r="B172" s="64"/>
      <c r="D172" s="9"/>
      <c r="E172" s="9"/>
      <c r="F172" s="9"/>
      <c r="G172" s="9"/>
      <c r="H172" s="9"/>
      <c r="I172" s="9"/>
      <c r="J172" s="9"/>
      <c r="K172" s="9"/>
      <c r="L172" s="9"/>
      <c r="M172" s="9"/>
      <c r="N172" s="15"/>
      <c r="O172" s="9"/>
      <c r="P172" s="9"/>
      <c r="Q172" s="9"/>
      <c r="R172" s="9"/>
    </row>
    <row r="173" spans="1:18">
      <c r="A173" s="59" t="s">
        <v>15</v>
      </c>
      <c r="B173" s="31" t="s">
        <v>16</v>
      </c>
      <c r="C173" s="60" t="s">
        <v>17</v>
      </c>
      <c r="D173" s="31" t="s">
        <v>18</v>
      </c>
      <c r="E173" s="31" t="s">
        <v>19</v>
      </c>
      <c r="F173" s="31" t="s">
        <v>20</v>
      </c>
      <c r="G173" s="31" t="s">
        <v>21</v>
      </c>
      <c r="H173" s="31" t="s">
        <v>22</v>
      </c>
      <c r="I173" s="31" t="s">
        <v>23</v>
      </c>
      <c r="J173" s="31" t="s">
        <v>24</v>
      </c>
      <c r="K173" s="31" t="s">
        <v>25</v>
      </c>
      <c r="L173" s="31" t="s">
        <v>26</v>
      </c>
      <c r="M173" s="31" t="s">
        <v>27</v>
      </c>
      <c r="N173" s="31" t="s">
        <v>28</v>
      </c>
      <c r="O173" s="31" t="s">
        <v>29</v>
      </c>
      <c r="P173" s="31" t="s">
        <v>30</v>
      </c>
      <c r="Q173" s="31" t="s">
        <v>31</v>
      </c>
      <c r="R173" s="31" t="s">
        <v>32</v>
      </c>
    </row>
    <row r="174" spans="1:18" ht="14.1" customHeight="1">
      <c r="A174" s="61">
        <v>1776336286995</v>
      </c>
      <c r="B174" s="34">
        <v>13562</v>
      </c>
      <c r="C174" s="6" t="s">
        <v>33</v>
      </c>
      <c r="D174" s="34">
        <v>200</v>
      </c>
      <c r="E174" s="34" t="s">
        <v>34</v>
      </c>
      <c r="F174" s="34" t="s">
        <v>35</v>
      </c>
      <c r="G174" s="34" t="s">
        <v>36</v>
      </c>
      <c r="H174" s="34" t="b">
        <v>1</v>
      </c>
      <c r="I174" s="34"/>
      <c r="J174" s="34">
        <v>207</v>
      </c>
      <c r="K174" s="34">
        <v>458</v>
      </c>
      <c r="L174" s="34">
        <v>2</v>
      </c>
      <c r="M174" s="34">
        <v>2</v>
      </c>
      <c r="N174" s="6" t="s">
        <v>37</v>
      </c>
      <c r="O174" s="34">
        <v>13561</v>
      </c>
      <c r="P174" s="34">
        <v>0</v>
      </c>
      <c r="Q174" s="34">
        <v>5</v>
      </c>
      <c r="R174" s="61"/>
    </row>
    <row r="175" spans="1:18" ht="14.1" customHeight="1">
      <c r="A175" s="61">
        <v>1776336286995</v>
      </c>
      <c r="B175" s="34">
        <v>22332</v>
      </c>
      <c r="C175" s="6" t="s">
        <v>33</v>
      </c>
      <c r="D175" s="34">
        <v>200</v>
      </c>
      <c r="E175" s="34" t="s">
        <v>34</v>
      </c>
      <c r="F175" s="34" t="s">
        <v>99</v>
      </c>
      <c r="G175" s="34" t="s">
        <v>36</v>
      </c>
      <c r="H175" s="34" t="b">
        <v>1</v>
      </c>
      <c r="I175" s="34"/>
      <c r="J175" s="34">
        <v>207</v>
      </c>
      <c r="K175" s="34">
        <v>458</v>
      </c>
      <c r="L175" s="34">
        <v>2</v>
      </c>
      <c r="M175" s="34">
        <v>2</v>
      </c>
      <c r="N175" s="6" t="s">
        <v>37</v>
      </c>
      <c r="O175" s="34">
        <v>22332</v>
      </c>
      <c r="P175" s="34">
        <v>0</v>
      </c>
      <c r="Q175" s="34">
        <v>5</v>
      </c>
      <c r="R175" s="61"/>
    </row>
    <row r="176" spans="1:18" ht="14.1" customHeight="1">
      <c r="A176" s="61">
        <v>1776336309328</v>
      </c>
      <c r="B176" s="34">
        <v>81</v>
      </c>
      <c r="C176" s="6" t="s">
        <v>38</v>
      </c>
      <c r="D176" s="34">
        <v>200</v>
      </c>
      <c r="E176" s="34" t="s">
        <v>34</v>
      </c>
      <c r="F176" s="34" t="s">
        <v>99</v>
      </c>
      <c r="G176" s="34" t="s">
        <v>36</v>
      </c>
      <c r="H176" s="34" t="b">
        <v>1</v>
      </c>
      <c r="I176" s="34"/>
      <c r="J176" s="34">
        <v>9783</v>
      </c>
      <c r="K176" s="34">
        <v>343</v>
      </c>
      <c r="L176" s="34">
        <v>2</v>
      </c>
      <c r="M176" s="34">
        <v>2</v>
      </c>
      <c r="N176" s="6" t="s">
        <v>37</v>
      </c>
      <c r="O176" s="34">
        <v>81</v>
      </c>
      <c r="P176" s="34">
        <v>0</v>
      </c>
      <c r="Q176" s="34">
        <v>0</v>
      </c>
      <c r="R176" s="61"/>
    </row>
    <row r="177" spans="1:18" ht="14.1" customHeight="1">
      <c r="A177" s="61">
        <v>1776336309329</v>
      </c>
      <c r="B177" s="34">
        <v>162</v>
      </c>
      <c r="C177" s="6" t="s">
        <v>38</v>
      </c>
      <c r="D177" s="34">
        <v>200</v>
      </c>
      <c r="E177" s="34" t="s">
        <v>34</v>
      </c>
      <c r="F177" s="34" t="s">
        <v>35</v>
      </c>
      <c r="G177" s="34" t="s">
        <v>36</v>
      </c>
      <c r="H177" s="34" t="b">
        <v>1</v>
      </c>
      <c r="I177" s="34"/>
      <c r="J177" s="34">
        <v>9783</v>
      </c>
      <c r="K177" s="34">
        <v>343</v>
      </c>
      <c r="L177" s="34">
        <v>2</v>
      </c>
      <c r="M177" s="34">
        <v>2</v>
      </c>
      <c r="N177" s="6" t="s">
        <v>37</v>
      </c>
      <c r="O177" s="34">
        <v>162</v>
      </c>
      <c r="P177" s="34">
        <v>0</v>
      </c>
      <c r="Q177" s="34">
        <v>0</v>
      </c>
      <c r="R177" s="61"/>
    </row>
    <row r="178" spans="1:18" ht="14.1" customHeight="1">
      <c r="A178" s="61">
        <v>1776336309827</v>
      </c>
      <c r="B178" s="34">
        <v>33</v>
      </c>
      <c r="C178" s="6" t="s">
        <v>39</v>
      </c>
      <c r="D178" s="34">
        <v>200</v>
      </c>
      <c r="E178" s="34" t="s">
        <v>34</v>
      </c>
      <c r="F178" s="34" t="s">
        <v>99</v>
      </c>
      <c r="G178" s="34" t="s">
        <v>36</v>
      </c>
      <c r="H178" s="34" t="b">
        <v>1</v>
      </c>
      <c r="I178" s="34"/>
      <c r="J178" s="34">
        <v>287</v>
      </c>
      <c r="K178" s="34">
        <v>385</v>
      </c>
      <c r="L178" s="34">
        <v>2</v>
      </c>
      <c r="M178" s="34">
        <v>2</v>
      </c>
      <c r="N178" s="6" t="s">
        <v>37</v>
      </c>
      <c r="O178" s="34">
        <v>33</v>
      </c>
      <c r="P178" s="34">
        <v>0</v>
      </c>
      <c r="Q178" s="34">
        <v>0</v>
      </c>
      <c r="R178" s="61"/>
    </row>
    <row r="179" spans="1:18" ht="14.1" customHeight="1">
      <c r="A179" s="61">
        <v>1776336309827</v>
      </c>
      <c r="B179" s="34">
        <v>48</v>
      </c>
      <c r="C179" s="6" t="s">
        <v>39</v>
      </c>
      <c r="D179" s="34">
        <v>200</v>
      </c>
      <c r="E179" s="34" t="s">
        <v>34</v>
      </c>
      <c r="F179" s="34" t="s">
        <v>35</v>
      </c>
      <c r="G179" s="34" t="s">
        <v>36</v>
      </c>
      <c r="H179" s="34" t="b">
        <v>1</v>
      </c>
      <c r="I179" s="34"/>
      <c r="J179" s="34">
        <v>287</v>
      </c>
      <c r="K179" s="34">
        <v>385</v>
      </c>
      <c r="L179" s="34">
        <v>2</v>
      </c>
      <c r="M179" s="34">
        <v>2</v>
      </c>
      <c r="N179" s="6" t="s">
        <v>37</v>
      </c>
      <c r="O179" s="34">
        <v>48</v>
      </c>
      <c r="P179" s="34">
        <v>0</v>
      </c>
      <c r="Q179" s="34">
        <v>0</v>
      </c>
      <c r="R179" s="61"/>
    </row>
    <row r="180" spans="1:18" ht="14.1" customHeight="1">
      <c r="A180" s="61">
        <v>1776336309876</v>
      </c>
      <c r="B180" s="34">
        <v>30</v>
      </c>
      <c r="C180" s="6" t="s">
        <v>40</v>
      </c>
      <c r="D180" s="34">
        <v>200</v>
      </c>
      <c r="E180" s="34" t="s">
        <v>34</v>
      </c>
      <c r="F180" s="34" t="s">
        <v>35</v>
      </c>
      <c r="G180" s="34" t="s">
        <v>36</v>
      </c>
      <c r="H180" s="34" t="b">
        <v>1</v>
      </c>
      <c r="I180" s="34"/>
      <c r="J180" s="34">
        <v>631</v>
      </c>
      <c r="K180" s="34">
        <v>369</v>
      </c>
      <c r="L180" s="34">
        <v>2</v>
      </c>
      <c r="M180" s="34">
        <v>2</v>
      </c>
      <c r="N180" s="6" t="s">
        <v>37</v>
      </c>
      <c r="O180" s="34">
        <v>30</v>
      </c>
      <c r="P180" s="34">
        <v>0</v>
      </c>
      <c r="Q180" s="34">
        <v>0</v>
      </c>
      <c r="R180" s="61"/>
    </row>
    <row r="181" spans="1:18" ht="14.1" customHeight="1">
      <c r="A181" s="61">
        <v>1776336309876</v>
      </c>
      <c r="B181" s="34">
        <v>43</v>
      </c>
      <c r="C181" s="6" t="s">
        <v>40</v>
      </c>
      <c r="D181" s="34">
        <v>200</v>
      </c>
      <c r="E181" s="34" t="s">
        <v>34</v>
      </c>
      <c r="F181" s="34" t="s">
        <v>99</v>
      </c>
      <c r="G181" s="34" t="s">
        <v>36</v>
      </c>
      <c r="H181" s="34" t="b">
        <v>1</v>
      </c>
      <c r="I181" s="34"/>
      <c r="J181" s="34">
        <v>631</v>
      </c>
      <c r="K181" s="34">
        <v>369</v>
      </c>
      <c r="L181" s="34">
        <v>1</v>
      </c>
      <c r="M181" s="34">
        <v>1</v>
      </c>
      <c r="N181" s="6" t="s">
        <v>37</v>
      </c>
      <c r="O181" s="34">
        <v>43</v>
      </c>
      <c r="P181" s="34">
        <v>0</v>
      </c>
      <c r="Q181" s="34">
        <v>0</v>
      </c>
      <c r="R181" s="61"/>
    </row>
  </sheetData>
  <mergeCells count="45">
    <mergeCell ref="A1:B1"/>
    <mergeCell ref="A2:B2"/>
    <mergeCell ref="A6:B6"/>
    <mergeCell ref="A7:B7"/>
    <mergeCell ref="A8:B8"/>
    <mergeCell ref="A3:B3"/>
    <mergeCell ref="A4:B4"/>
    <mergeCell ref="A5:B5"/>
    <mergeCell ref="A35:B35"/>
    <mergeCell ref="A36:B36"/>
    <mergeCell ref="A44:B44"/>
    <mergeCell ref="A26:B26"/>
    <mergeCell ref="A27:B27"/>
    <mergeCell ref="A18:B18"/>
    <mergeCell ref="A9:B9"/>
    <mergeCell ref="A143:B143"/>
    <mergeCell ref="A144:B144"/>
    <mergeCell ref="A152:B152"/>
    <mergeCell ref="A81:B81"/>
    <mergeCell ref="A89:B89"/>
    <mergeCell ref="A90:B90"/>
    <mergeCell ref="A98:B98"/>
    <mergeCell ref="A99:B99"/>
    <mergeCell ref="A107:B107"/>
    <mergeCell ref="A108:B108"/>
    <mergeCell ref="A116:B116"/>
    <mergeCell ref="A117:B117"/>
    <mergeCell ref="A125:B125"/>
    <mergeCell ref="A17:B17"/>
    <mergeCell ref="A126:B126"/>
    <mergeCell ref="A134:B134"/>
    <mergeCell ref="A135:B135"/>
    <mergeCell ref="A45:B45"/>
    <mergeCell ref="A54:B54"/>
    <mergeCell ref="A80:B80"/>
    <mergeCell ref="A62:B62"/>
    <mergeCell ref="A63:B63"/>
    <mergeCell ref="A71:B71"/>
    <mergeCell ref="A72:B72"/>
    <mergeCell ref="A53:B53"/>
    <mergeCell ref="A153:B153"/>
    <mergeCell ref="A161:B161"/>
    <mergeCell ref="A162:B162"/>
    <mergeCell ref="A170:B170"/>
    <mergeCell ref="A171:B171"/>
  </mergeCells>
  <hyperlinks>
    <hyperlink ref="N21" r:id="rId1" xr:uid="{8BD6953C-058C-4848-A6AD-6F027597F23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1E61-3AE4-4118-8F25-9A142A04E0AA}">
  <dimension ref="A1:AA213"/>
  <sheetViews>
    <sheetView zoomScale="80" zoomScaleNormal="80" workbookViewId="0">
      <pane ySplit="6" topLeftCell="A41" activePane="bottomLeft" state="frozen"/>
      <selection pane="bottomLeft" activeCell="L55" sqref="L55"/>
    </sheetView>
  </sheetViews>
  <sheetFormatPr defaultRowHeight="14.45"/>
  <cols>
    <col min="1" max="1" width="35.42578125" customWidth="1"/>
    <col min="2" max="2" width="14.5703125" style="10" customWidth="1"/>
    <col min="3" max="4" width="8" style="10" hidden="1" customWidth="1"/>
    <col min="5" max="7" width="8.42578125" style="10" hidden="1" customWidth="1"/>
    <col min="8" max="8" width="8" style="10" hidden="1" customWidth="1"/>
    <col min="9" max="9" width="10.42578125" style="10" hidden="1" customWidth="1"/>
    <col min="10" max="10" width="8.85546875" style="10"/>
    <col min="11" max="11" width="16.140625" style="10" customWidth="1"/>
    <col min="12" max="12" width="16.42578125" style="10" customWidth="1"/>
    <col min="13" max="13" width="14.85546875" style="10" customWidth="1"/>
    <col min="14" max="14" width="23.140625" style="10" customWidth="1"/>
    <col min="15" max="15" width="20.85546875" style="10" customWidth="1"/>
    <col min="16" max="16" width="23.42578125" style="10" customWidth="1"/>
    <col min="17" max="17" width="22.42578125" style="10" customWidth="1"/>
    <col min="18" max="18" width="23.42578125" style="10" customWidth="1"/>
    <col min="19" max="19" width="22" style="10" customWidth="1"/>
    <col min="20" max="20" width="23.5703125" style="74" customWidth="1"/>
    <col min="21" max="21" width="54.42578125" customWidth="1"/>
  </cols>
  <sheetData>
    <row r="1" spans="1:27">
      <c r="A1" s="7" t="s">
        <v>0</v>
      </c>
      <c r="B1" s="7" t="s">
        <v>100</v>
      </c>
      <c r="C1" s="8"/>
      <c r="D1" s="9"/>
      <c r="J1" s="7"/>
      <c r="O1" s="9"/>
      <c r="S1" s="173" t="s">
        <v>101</v>
      </c>
      <c r="T1" s="173"/>
      <c r="V1" s="10"/>
      <c r="W1" s="11"/>
      <c r="X1" s="12"/>
      <c r="AA1" s="13"/>
    </row>
    <row r="2" spans="1:27">
      <c r="A2" s="14" t="s">
        <v>2</v>
      </c>
      <c r="B2" s="15" t="s">
        <v>3</v>
      </c>
      <c r="C2" s="9"/>
      <c r="D2" s="9"/>
      <c r="N2" s="9"/>
      <c r="O2" s="9"/>
      <c r="S2" s="9" t="s">
        <v>102</v>
      </c>
      <c r="T2" s="9" t="s">
        <v>103</v>
      </c>
      <c r="V2" s="10"/>
      <c r="W2" s="10"/>
      <c r="X2" s="12"/>
      <c r="AA2" s="13"/>
    </row>
    <row r="3" spans="1:27">
      <c r="A3" s="14"/>
      <c r="B3" s="15" t="s">
        <v>104</v>
      </c>
      <c r="C3" s="9"/>
      <c r="D3" s="9"/>
      <c r="N3" s="9"/>
      <c r="O3" s="9"/>
      <c r="S3" s="9" t="s">
        <v>105</v>
      </c>
      <c r="T3" s="9" t="s">
        <v>106</v>
      </c>
      <c r="V3" s="10"/>
      <c r="W3" s="10"/>
      <c r="X3" s="12"/>
      <c r="AA3" s="13"/>
    </row>
    <row r="4" spans="1:27">
      <c r="A4" s="14" t="s">
        <v>5</v>
      </c>
      <c r="B4" s="15" t="s">
        <v>6</v>
      </c>
      <c r="C4" s="9"/>
      <c r="D4" s="9"/>
      <c r="L4" s="9"/>
      <c r="N4" s="9"/>
      <c r="O4" s="9"/>
      <c r="S4" s="9" t="s">
        <v>107</v>
      </c>
      <c r="T4" s="9" t="s">
        <v>108</v>
      </c>
      <c r="V4" s="10"/>
      <c r="W4" s="10"/>
      <c r="X4" s="12"/>
      <c r="AA4" s="13"/>
    </row>
    <row r="5" spans="1:27">
      <c r="A5" s="14" t="s">
        <v>7</v>
      </c>
      <c r="B5" s="15" t="s">
        <v>8</v>
      </c>
      <c r="C5" s="9"/>
      <c r="D5" s="9"/>
      <c r="L5" s="9"/>
      <c r="N5" s="9"/>
      <c r="O5" s="9"/>
      <c r="S5" s="9" t="s">
        <v>109</v>
      </c>
      <c r="T5" s="9" t="s">
        <v>110</v>
      </c>
      <c r="V5" s="10"/>
      <c r="W5" s="10"/>
      <c r="X5" s="12"/>
      <c r="AA5" s="13"/>
    </row>
    <row r="6" spans="1:27" ht="15" thickBot="1">
      <c r="A6" s="16" t="s">
        <v>9</v>
      </c>
      <c r="B6" s="17" t="s">
        <v>10</v>
      </c>
      <c r="C6" s="18"/>
      <c r="D6" s="18"/>
      <c r="E6" s="19"/>
      <c r="F6" s="19"/>
      <c r="G6" s="19"/>
      <c r="H6" s="19"/>
      <c r="I6" s="19"/>
      <c r="J6" s="19"/>
      <c r="K6" s="19"/>
      <c r="L6" s="19"/>
      <c r="M6" s="19"/>
      <c r="N6" s="18"/>
      <c r="O6" s="18"/>
      <c r="P6" s="19"/>
      <c r="Q6" s="19"/>
      <c r="R6" s="19"/>
      <c r="S6" s="83" t="s">
        <v>111</v>
      </c>
      <c r="T6" s="83" t="s">
        <v>112</v>
      </c>
      <c r="U6" s="20"/>
      <c r="V6" s="10"/>
      <c r="W6" s="10"/>
      <c r="X6" s="10"/>
    </row>
    <row r="7" spans="1:27">
      <c r="A7" s="14"/>
      <c r="B7" s="15"/>
      <c r="C7" s="9"/>
      <c r="D7" s="9"/>
      <c r="V7" s="10"/>
      <c r="W7" s="10"/>
      <c r="X7" s="10"/>
    </row>
    <row r="8" spans="1:27">
      <c r="A8" s="21" t="s">
        <v>11</v>
      </c>
      <c r="B8" s="22" t="s">
        <v>12</v>
      </c>
      <c r="C8" s="23"/>
      <c r="D8" s="24"/>
      <c r="E8" s="25"/>
      <c r="F8" s="25"/>
      <c r="G8" s="25"/>
      <c r="H8" s="25"/>
      <c r="I8" s="25"/>
      <c r="J8" s="25"/>
      <c r="K8" s="25"/>
      <c r="V8" s="10"/>
      <c r="W8" s="10"/>
      <c r="X8" s="10"/>
    </row>
    <row r="9" spans="1:27">
      <c r="A9" s="26" t="s">
        <v>113</v>
      </c>
      <c r="B9" s="27" t="s">
        <v>14</v>
      </c>
      <c r="C9" s="24"/>
      <c r="D9" s="24"/>
      <c r="E9" s="25"/>
      <c r="F9" s="25"/>
      <c r="G9" s="25"/>
      <c r="H9" s="25"/>
      <c r="I9" s="25"/>
      <c r="J9" s="25"/>
      <c r="K9" s="25"/>
      <c r="V9" s="10"/>
      <c r="W9" s="10"/>
      <c r="X9" s="10"/>
    </row>
    <row r="10" spans="1:27">
      <c r="A10" s="14"/>
      <c r="B10" s="15"/>
      <c r="C10" s="9"/>
      <c r="D10" s="9"/>
      <c r="V10" s="10"/>
      <c r="W10" s="10"/>
      <c r="X10" s="10"/>
    </row>
    <row r="11" spans="1:27" s="32" customFormat="1">
      <c r="A11" s="30" t="s">
        <v>114</v>
      </c>
      <c r="B11" s="31" t="s">
        <v>115</v>
      </c>
      <c r="C11" s="31" t="s">
        <v>116</v>
      </c>
      <c r="D11" s="31" t="s">
        <v>117</v>
      </c>
      <c r="E11" s="31" t="s">
        <v>118</v>
      </c>
      <c r="F11" s="31" t="s">
        <v>119</v>
      </c>
      <c r="G11" s="31" t="s">
        <v>120</v>
      </c>
      <c r="H11" s="31" t="s">
        <v>121</v>
      </c>
      <c r="I11" s="31" t="s">
        <v>122</v>
      </c>
      <c r="J11" s="31" t="s">
        <v>123</v>
      </c>
      <c r="K11" s="31" t="s">
        <v>124</v>
      </c>
      <c r="L11" s="31" t="s">
        <v>125</v>
      </c>
      <c r="M11" s="31" t="s">
        <v>126</v>
      </c>
      <c r="N11" s="31" t="s">
        <v>116</v>
      </c>
      <c r="O11" s="31" t="s">
        <v>117</v>
      </c>
      <c r="P11" s="31" t="s">
        <v>118</v>
      </c>
      <c r="Q11" s="31" t="s">
        <v>119</v>
      </c>
      <c r="R11" s="31" t="s">
        <v>120</v>
      </c>
      <c r="S11" s="31" t="s">
        <v>121</v>
      </c>
      <c r="T11" s="31" t="s">
        <v>122</v>
      </c>
      <c r="U11" s="70" t="s">
        <v>127</v>
      </c>
    </row>
    <row r="12" spans="1:27">
      <c r="A12" s="33" t="s">
        <v>33</v>
      </c>
      <c r="B12" s="34">
        <v>1</v>
      </c>
      <c r="C12" s="34">
        <v>1436</v>
      </c>
      <c r="D12" s="34">
        <v>1436</v>
      </c>
      <c r="E12" s="34">
        <v>1436</v>
      </c>
      <c r="F12" s="34">
        <v>1436</v>
      </c>
      <c r="G12" s="34">
        <v>1436</v>
      </c>
      <c r="H12" s="34">
        <v>1436</v>
      </c>
      <c r="I12" s="34">
        <v>1436</v>
      </c>
      <c r="J12" s="35">
        <v>0</v>
      </c>
      <c r="K12" s="36">
        <v>0.69637883008356505</v>
      </c>
      <c r="L12" s="37">
        <v>0.140091834958217</v>
      </c>
      <c r="M12" s="34">
        <v>0.30738596796657303</v>
      </c>
      <c r="N12" s="52" t="str">
        <f>C12&amp;" ("&amp;TEXT(C12/1000,"0.000")&amp;" secs)"</f>
        <v>1436 (1.436 secs)</v>
      </c>
      <c r="O12" s="52" t="str">
        <f>D12&amp;" ("&amp;TEXT(D12/1000,"0.000")&amp;" secs)"</f>
        <v>1436 (1.436 secs)</v>
      </c>
      <c r="P12" s="52" t="str">
        <f t="shared" ref="P12:T12" si="0">E12&amp;" ("&amp;TEXT(E12/1000,"0.000")&amp;" secs)"</f>
        <v>1436 (1.436 secs)</v>
      </c>
      <c r="Q12" s="52" t="str">
        <f t="shared" si="0"/>
        <v>1436 (1.436 secs)</v>
      </c>
      <c r="R12" s="52" t="str">
        <f t="shared" si="0"/>
        <v>1436 (1.436 secs)</v>
      </c>
      <c r="S12" s="52" t="str">
        <f t="shared" si="0"/>
        <v>1436 (1.436 secs)</v>
      </c>
      <c r="T12" s="52" t="str">
        <f t="shared" si="0"/>
        <v>1436 (1.436 secs)</v>
      </c>
      <c r="U12" s="71"/>
    </row>
    <row r="13" spans="1:27">
      <c r="A13" s="33" t="s">
        <v>38</v>
      </c>
      <c r="B13" s="34">
        <v>1</v>
      </c>
      <c r="C13" s="34">
        <v>32</v>
      </c>
      <c r="D13" s="34">
        <v>32</v>
      </c>
      <c r="E13" s="34">
        <v>32</v>
      </c>
      <c r="F13" s="34">
        <v>32</v>
      </c>
      <c r="G13" s="34">
        <v>32</v>
      </c>
      <c r="H13" s="34">
        <v>32</v>
      </c>
      <c r="I13" s="34">
        <v>32</v>
      </c>
      <c r="J13" s="35">
        <v>0</v>
      </c>
      <c r="K13" s="36">
        <v>31.25</v>
      </c>
      <c r="L13" s="37">
        <v>56.488037109375</v>
      </c>
      <c r="M13" s="34">
        <v>10.467529296875</v>
      </c>
      <c r="N13" s="52" t="str">
        <f t="shared" ref="N13:N16" si="1">C13&amp;" ("&amp;TEXT(C13/1000,"0.000")&amp;" secs)"</f>
        <v>32 (0.032 secs)</v>
      </c>
      <c r="O13" s="52" t="str">
        <f t="shared" ref="O13:O16" si="2">D13&amp;" ("&amp;TEXT(D13/1000,"0.000")&amp;" secs)"</f>
        <v>32 (0.032 secs)</v>
      </c>
      <c r="P13" s="52" t="str">
        <f t="shared" ref="P13:P16" si="3">E13&amp;" ("&amp;TEXT(E13/1000,"0.000")&amp;" secs)"</f>
        <v>32 (0.032 secs)</v>
      </c>
      <c r="Q13" s="52" t="str">
        <f t="shared" ref="Q13:Q16" si="4">F13&amp;" ("&amp;TEXT(F13/1000,"0.000")&amp;" secs)"</f>
        <v>32 (0.032 secs)</v>
      </c>
      <c r="R13" s="52" t="str">
        <f t="shared" ref="R13:R16" si="5">G13&amp;" ("&amp;TEXT(G13/1000,"0.000")&amp;" secs)"</f>
        <v>32 (0.032 secs)</v>
      </c>
      <c r="S13" s="52" t="str">
        <f t="shared" ref="S13:S16" si="6">H13&amp;" ("&amp;TEXT(H13/1000,"0.000")&amp;" secs)"</f>
        <v>32 (0.032 secs)</v>
      </c>
      <c r="T13" s="52" t="str">
        <f t="shared" ref="T13:T16" si="7">I13&amp;" ("&amp;TEXT(I13/1000,"0.000")&amp;" secs)"</f>
        <v>32 (0.032 secs)</v>
      </c>
      <c r="U13" s="71"/>
    </row>
    <row r="14" spans="1:27">
      <c r="A14" s="33" t="s">
        <v>39</v>
      </c>
      <c r="B14" s="34">
        <v>1</v>
      </c>
      <c r="C14" s="34">
        <v>18</v>
      </c>
      <c r="D14" s="34">
        <v>18</v>
      </c>
      <c r="E14" s="34">
        <v>18</v>
      </c>
      <c r="F14" s="34">
        <v>18</v>
      </c>
      <c r="G14" s="34">
        <v>18</v>
      </c>
      <c r="H14" s="34">
        <v>18</v>
      </c>
      <c r="I14" s="34">
        <v>18</v>
      </c>
      <c r="J14" s="35">
        <v>0</v>
      </c>
      <c r="K14" s="36">
        <v>55.5555555555555</v>
      </c>
      <c r="L14" s="37">
        <v>11.71875</v>
      </c>
      <c r="M14" s="34">
        <v>20.8875868055555</v>
      </c>
      <c r="N14" s="52" t="str">
        <f t="shared" si="1"/>
        <v>18 (0.018 secs)</v>
      </c>
      <c r="O14" s="52" t="str">
        <f t="shared" si="2"/>
        <v>18 (0.018 secs)</v>
      </c>
      <c r="P14" s="52" t="str">
        <f t="shared" si="3"/>
        <v>18 (0.018 secs)</v>
      </c>
      <c r="Q14" s="52" t="str">
        <f t="shared" si="4"/>
        <v>18 (0.018 secs)</v>
      </c>
      <c r="R14" s="52" t="str">
        <f t="shared" si="5"/>
        <v>18 (0.018 secs)</v>
      </c>
      <c r="S14" s="52" t="str">
        <f t="shared" si="6"/>
        <v>18 (0.018 secs)</v>
      </c>
      <c r="T14" s="52" t="str">
        <f t="shared" si="7"/>
        <v>18 (0.018 secs)</v>
      </c>
      <c r="U14" s="71"/>
    </row>
    <row r="15" spans="1:27">
      <c r="A15" s="33" t="s">
        <v>40</v>
      </c>
      <c r="B15" s="34">
        <v>1</v>
      </c>
      <c r="C15" s="34">
        <v>22</v>
      </c>
      <c r="D15" s="34">
        <v>22</v>
      </c>
      <c r="E15" s="34">
        <v>22</v>
      </c>
      <c r="F15" s="34">
        <v>22</v>
      </c>
      <c r="G15" s="34">
        <v>22</v>
      </c>
      <c r="H15" s="34">
        <v>22</v>
      </c>
      <c r="I15" s="34">
        <v>22</v>
      </c>
      <c r="J15" s="35">
        <v>0</v>
      </c>
      <c r="K15" s="36">
        <v>45.454545454545404</v>
      </c>
      <c r="L15" s="37">
        <v>14.4264914772727</v>
      </c>
      <c r="M15" s="34">
        <v>16.335227272727199</v>
      </c>
      <c r="N15" s="52" t="str">
        <f t="shared" si="1"/>
        <v>22 (0.022 secs)</v>
      </c>
      <c r="O15" s="52" t="str">
        <f t="shared" si="2"/>
        <v>22 (0.022 secs)</v>
      </c>
      <c r="P15" s="52" t="str">
        <f t="shared" si="3"/>
        <v>22 (0.022 secs)</v>
      </c>
      <c r="Q15" s="52" t="str">
        <f t="shared" si="4"/>
        <v>22 (0.022 secs)</v>
      </c>
      <c r="R15" s="52" t="str">
        <f t="shared" si="5"/>
        <v>22 (0.022 secs)</v>
      </c>
      <c r="S15" s="52" t="str">
        <f t="shared" si="6"/>
        <v>22 (0.022 secs)</v>
      </c>
      <c r="T15" s="52" t="str">
        <f t="shared" si="7"/>
        <v>22 (0.022 secs)</v>
      </c>
      <c r="U15" s="71"/>
    </row>
    <row r="16" spans="1:27" ht="15" thickBot="1">
      <c r="A16" s="38" t="s">
        <v>128</v>
      </c>
      <c r="B16" s="39">
        <v>4</v>
      </c>
      <c r="C16" s="39">
        <v>377</v>
      </c>
      <c r="D16" s="39">
        <v>22</v>
      </c>
      <c r="E16" s="39">
        <v>1436</v>
      </c>
      <c r="F16" s="39">
        <v>1436</v>
      </c>
      <c r="G16" s="39">
        <v>1436</v>
      </c>
      <c r="H16" s="39">
        <v>18</v>
      </c>
      <c r="I16" s="39">
        <v>1436</v>
      </c>
      <c r="J16" s="40">
        <v>0</v>
      </c>
      <c r="K16" s="41">
        <v>2.6490066225165498</v>
      </c>
      <c r="L16" s="42">
        <v>1.68020488410596</v>
      </c>
      <c r="M16" s="39">
        <v>1.0011382450331101</v>
      </c>
      <c r="N16" s="53" t="str">
        <f t="shared" si="1"/>
        <v>377 (0.377 secs)</v>
      </c>
      <c r="O16" s="53" t="str">
        <f t="shared" si="2"/>
        <v>22 (0.022 secs)</v>
      </c>
      <c r="P16" s="53" t="str">
        <f t="shared" si="3"/>
        <v>1436 (1.436 secs)</v>
      </c>
      <c r="Q16" s="53" t="str">
        <f t="shared" si="4"/>
        <v>1436 (1.436 secs)</v>
      </c>
      <c r="R16" s="53" t="str">
        <f t="shared" si="5"/>
        <v>1436 (1.436 secs)</v>
      </c>
      <c r="S16" s="53" t="str">
        <f t="shared" si="6"/>
        <v>18 (0.018 secs)</v>
      </c>
      <c r="T16" s="53" t="str">
        <f t="shared" si="7"/>
        <v>1436 (1.436 secs)</v>
      </c>
      <c r="U16" s="72"/>
    </row>
    <row r="17" spans="1:21">
      <c r="J17" s="43"/>
      <c r="N17" s="1"/>
    </row>
    <row r="18" spans="1:21" hidden="1">
      <c r="A18" s="26" t="s">
        <v>13</v>
      </c>
      <c r="B18" s="27" t="s">
        <v>129</v>
      </c>
      <c r="C18" s="24"/>
      <c r="D18" s="24"/>
      <c r="E18" s="25"/>
      <c r="F18" s="25"/>
      <c r="N18" s="1" t="str">
        <f t="shared" ref="N18:N34" si="8">C18&amp;" ("&amp;TEXT(C18/60000,"0.000")&amp;" mins)"</f>
        <v xml:space="preserve"> (0.000 mins)</v>
      </c>
      <c r="O18" s="24"/>
      <c r="P18" s="24"/>
      <c r="Q18" s="24"/>
      <c r="R18" s="24"/>
      <c r="S18" s="24"/>
      <c r="T18" s="75"/>
    </row>
    <row r="19" spans="1:21" hidden="1">
      <c r="A19" s="44" t="s">
        <v>130</v>
      </c>
      <c r="B19" s="45" t="s">
        <v>131</v>
      </c>
      <c r="C19" s="28"/>
      <c r="D19" s="28"/>
      <c r="E19" s="29"/>
      <c r="F19" s="29"/>
      <c r="N19" s="1" t="str">
        <f t="shared" si="8"/>
        <v xml:space="preserve"> (0.000 mins)</v>
      </c>
      <c r="O19" s="28"/>
      <c r="P19" s="28"/>
      <c r="Q19" s="28"/>
      <c r="R19" s="28"/>
      <c r="S19" s="28"/>
      <c r="T19" s="76"/>
    </row>
    <row r="20" spans="1:21" hidden="1">
      <c r="A20" s="26" t="s">
        <v>127</v>
      </c>
      <c r="B20" s="46"/>
      <c r="C20" s="25"/>
      <c r="D20" s="24"/>
      <c r="E20" s="25"/>
      <c r="F20" s="25"/>
      <c r="N20" s="1" t="str">
        <f t="shared" si="8"/>
        <v xml:space="preserve"> (0.000 mins)</v>
      </c>
      <c r="O20" s="24"/>
      <c r="P20" s="24"/>
      <c r="Q20" s="24"/>
      <c r="R20" s="24"/>
      <c r="S20" s="24"/>
      <c r="T20" s="75"/>
    </row>
    <row r="21" spans="1:21" hidden="1">
      <c r="A21" s="14"/>
      <c r="B21" s="5"/>
      <c r="D21" s="9"/>
      <c r="N21" s="1" t="str">
        <f t="shared" si="8"/>
        <v xml:space="preserve"> (0.000 mins)</v>
      </c>
      <c r="O21" s="9"/>
      <c r="P21" s="9"/>
      <c r="Q21" s="9"/>
      <c r="R21" s="9"/>
      <c r="S21" s="9"/>
      <c r="T21" s="77"/>
    </row>
    <row r="22" spans="1:21" hidden="1">
      <c r="A22" s="30" t="s">
        <v>114</v>
      </c>
      <c r="B22" s="31" t="s">
        <v>115</v>
      </c>
      <c r="C22" s="31" t="s">
        <v>116</v>
      </c>
      <c r="D22" s="31" t="s">
        <v>117</v>
      </c>
      <c r="E22" s="31" t="s">
        <v>118</v>
      </c>
      <c r="F22" s="31" t="s">
        <v>119</v>
      </c>
      <c r="G22" s="31" t="s">
        <v>120</v>
      </c>
      <c r="H22" s="31" t="s">
        <v>121</v>
      </c>
      <c r="I22" s="31" t="s">
        <v>122</v>
      </c>
      <c r="J22" s="31" t="s">
        <v>123</v>
      </c>
      <c r="K22" s="31" t="s">
        <v>124</v>
      </c>
      <c r="L22" s="31" t="s">
        <v>125</v>
      </c>
      <c r="M22" s="31" t="s">
        <v>126</v>
      </c>
      <c r="N22" s="1" t="e">
        <f t="shared" si="8"/>
        <v>#VALUE!</v>
      </c>
      <c r="O22" s="31"/>
      <c r="P22" s="31"/>
      <c r="Q22" s="31"/>
      <c r="R22" s="31"/>
      <c r="S22" s="31"/>
      <c r="T22" s="31"/>
      <c r="U22" s="70" t="s">
        <v>127</v>
      </c>
    </row>
    <row r="23" spans="1:21" hidden="1">
      <c r="A23" s="33" t="s">
        <v>132</v>
      </c>
      <c r="B23" s="34">
        <v>1</v>
      </c>
      <c r="C23" s="34">
        <v>99170</v>
      </c>
      <c r="D23" s="34">
        <v>99170</v>
      </c>
      <c r="E23" s="34">
        <v>99170</v>
      </c>
      <c r="F23" s="34">
        <v>99170</v>
      </c>
      <c r="G23" s="34">
        <v>99170</v>
      </c>
      <c r="H23" s="34">
        <v>99170</v>
      </c>
      <c r="I23" s="34">
        <v>99170</v>
      </c>
      <c r="J23" s="35">
        <v>0</v>
      </c>
      <c r="K23" s="36">
        <v>1.00836946657255E-2</v>
      </c>
      <c r="L23" s="37">
        <v>6022.4525180088403</v>
      </c>
      <c r="M23" s="36">
        <v>1.84145595946354E-3</v>
      </c>
      <c r="N23" s="1" t="str">
        <f t="shared" si="8"/>
        <v>99170 (1.653 mins)</v>
      </c>
      <c r="O23" s="34"/>
      <c r="P23" s="34"/>
      <c r="Q23" s="34"/>
      <c r="R23" s="34"/>
      <c r="S23" s="34"/>
      <c r="T23" s="34"/>
      <c r="U23" s="71"/>
    </row>
    <row r="24" spans="1:21" hidden="1">
      <c r="A24" s="33" t="s">
        <v>133</v>
      </c>
      <c r="B24" s="34">
        <v>1</v>
      </c>
      <c r="C24" s="34">
        <v>9302</v>
      </c>
      <c r="D24" s="34">
        <v>9302</v>
      </c>
      <c r="E24" s="34">
        <v>9302</v>
      </c>
      <c r="F24" s="34">
        <v>9302</v>
      </c>
      <c r="G24" s="34">
        <v>9302</v>
      </c>
      <c r="H24" s="34">
        <v>9302</v>
      </c>
      <c r="I24" s="34">
        <v>9302</v>
      </c>
      <c r="J24" s="35">
        <v>0</v>
      </c>
      <c r="K24" s="36">
        <v>0.10750376263169199</v>
      </c>
      <c r="L24" s="37">
        <v>4471.2378092412901</v>
      </c>
      <c r="M24" s="36">
        <v>1.9317082347882101E-2</v>
      </c>
      <c r="N24" s="1" t="str">
        <f t="shared" si="8"/>
        <v>9302 (0.155 mins)</v>
      </c>
      <c r="O24" s="34"/>
      <c r="P24" s="34"/>
      <c r="Q24" s="34"/>
      <c r="R24" s="34"/>
      <c r="S24" s="34"/>
      <c r="T24" s="34"/>
      <c r="U24" s="71"/>
    </row>
    <row r="25" spans="1:21" hidden="1">
      <c r="A25" s="33" t="s">
        <v>134</v>
      </c>
      <c r="B25" s="34">
        <v>1</v>
      </c>
      <c r="C25" s="34">
        <v>5681</v>
      </c>
      <c r="D25" s="34">
        <v>5681</v>
      </c>
      <c r="E25" s="34">
        <v>5681</v>
      </c>
      <c r="F25" s="34">
        <v>5681</v>
      </c>
      <c r="G25" s="34">
        <v>5681</v>
      </c>
      <c r="H25" s="34">
        <v>5681</v>
      </c>
      <c r="I25" s="34">
        <v>5681</v>
      </c>
      <c r="J25" s="35">
        <v>0</v>
      </c>
      <c r="K25" s="36">
        <v>0.176025347650061</v>
      </c>
      <c r="L25" s="37">
        <v>5940.9173671008602</v>
      </c>
      <c r="M25" s="36">
        <v>3.0598156134483301E-2</v>
      </c>
      <c r="N25" s="1" t="str">
        <f t="shared" si="8"/>
        <v>5681 (0.095 mins)</v>
      </c>
      <c r="O25" s="34"/>
      <c r="P25" s="34"/>
      <c r="Q25" s="34"/>
      <c r="R25" s="34"/>
      <c r="S25" s="34"/>
      <c r="T25" s="34"/>
      <c r="U25" s="71"/>
    </row>
    <row r="26" spans="1:21" hidden="1">
      <c r="A26" s="33" t="s">
        <v>135</v>
      </c>
      <c r="B26" s="34">
        <v>1</v>
      </c>
      <c r="C26" s="34">
        <v>1163855</v>
      </c>
      <c r="D26" s="34">
        <v>1163855</v>
      </c>
      <c r="E26" s="34">
        <v>1163855</v>
      </c>
      <c r="F26" s="34">
        <v>1163855</v>
      </c>
      <c r="G26" s="34">
        <v>1163855</v>
      </c>
      <c r="H26" s="34">
        <v>1163855</v>
      </c>
      <c r="I26" s="34">
        <v>1163855</v>
      </c>
      <c r="J26" s="35">
        <v>0</v>
      </c>
      <c r="K26" s="36">
        <v>8.5921356182685896E-4</v>
      </c>
      <c r="L26" s="37">
        <v>5952.11807973958</v>
      </c>
      <c r="M26" s="36">
        <v>1.5774623986665001E-4</v>
      </c>
      <c r="N26" s="1" t="str">
        <f t="shared" si="8"/>
        <v>1163855 (19.398 mins)</v>
      </c>
      <c r="O26" s="34"/>
      <c r="P26" s="34"/>
      <c r="Q26" s="34"/>
      <c r="R26" s="34"/>
      <c r="S26" s="34"/>
      <c r="T26" s="34"/>
      <c r="U26" s="71"/>
    </row>
    <row r="27" spans="1:21" hidden="1">
      <c r="A27" s="33" t="s">
        <v>136</v>
      </c>
      <c r="B27" s="34">
        <v>1</v>
      </c>
      <c r="C27" s="34">
        <v>7726</v>
      </c>
      <c r="D27" s="34">
        <v>7726</v>
      </c>
      <c r="E27" s="34">
        <v>7726</v>
      </c>
      <c r="F27" s="34">
        <v>7726</v>
      </c>
      <c r="G27" s="34">
        <v>7726</v>
      </c>
      <c r="H27" s="34">
        <v>7726</v>
      </c>
      <c r="I27" s="34">
        <v>7726</v>
      </c>
      <c r="J27" s="35">
        <v>0</v>
      </c>
      <c r="K27" s="36">
        <v>0.12943308309603899</v>
      </c>
      <c r="L27" s="37">
        <v>3778.7647331251601</v>
      </c>
      <c r="M27" s="36">
        <v>2.32575071188195E-2</v>
      </c>
      <c r="N27" s="1" t="str">
        <f t="shared" si="8"/>
        <v>7726 (0.129 mins)</v>
      </c>
      <c r="O27" s="34"/>
      <c r="P27" s="34"/>
      <c r="Q27" s="34"/>
      <c r="R27" s="34"/>
      <c r="S27" s="34"/>
      <c r="T27" s="34"/>
      <c r="U27" s="71"/>
    </row>
    <row r="28" spans="1:21" hidden="1">
      <c r="A28" s="33" t="s">
        <v>137</v>
      </c>
      <c r="B28" s="34">
        <v>1</v>
      </c>
      <c r="C28" s="34">
        <v>14660</v>
      </c>
      <c r="D28" s="34">
        <v>14660</v>
      </c>
      <c r="E28" s="34">
        <v>14660</v>
      </c>
      <c r="F28" s="34">
        <v>14660</v>
      </c>
      <c r="G28" s="34">
        <v>14660</v>
      </c>
      <c r="H28" s="34">
        <v>14660</v>
      </c>
      <c r="I28" s="34">
        <v>14660</v>
      </c>
      <c r="J28" s="35">
        <v>0</v>
      </c>
      <c r="K28" s="36">
        <v>6.8212824010913997E-2</v>
      </c>
      <c r="L28" s="37">
        <v>6083.4467327123102</v>
      </c>
      <c r="M28" s="36">
        <v>1.25234481582537E-2</v>
      </c>
      <c r="N28" s="1" t="str">
        <f t="shared" si="8"/>
        <v>14660 (0.244 mins)</v>
      </c>
      <c r="O28" s="34"/>
      <c r="P28" s="34"/>
      <c r="Q28" s="34"/>
      <c r="R28" s="34"/>
      <c r="S28" s="34"/>
      <c r="T28" s="34"/>
      <c r="U28" s="71"/>
    </row>
    <row r="29" spans="1:21" hidden="1">
      <c r="A29" s="33" t="s">
        <v>138</v>
      </c>
      <c r="B29" s="34">
        <v>1</v>
      </c>
      <c r="C29" s="34">
        <v>310</v>
      </c>
      <c r="D29" s="34">
        <v>310</v>
      </c>
      <c r="E29" s="34">
        <v>310</v>
      </c>
      <c r="F29" s="34">
        <v>310</v>
      </c>
      <c r="G29" s="34">
        <v>310</v>
      </c>
      <c r="H29" s="34">
        <v>310</v>
      </c>
      <c r="I29" s="34">
        <v>310</v>
      </c>
      <c r="J29" s="35">
        <v>0</v>
      </c>
      <c r="K29" s="36">
        <v>3.2258064516128999</v>
      </c>
      <c r="L29" s="37">
        <v>3144.6793094758</v>
      </c>
      <c r="M29" s="36">
        <v>0.5859375</v>
      </c>
      <c r="N29" s="1" t="str">
        <f t="shared" si="8"/>
        <v>310 (0.005 mins)</v>
      </c>
      <c r="O29" s="34"/>
      <c r="P29" s="34"/>
      <c r="Q29" s="34"/>
      <c r="R29" s="34"/>
      <c r="S29" s="34"/>
      <c r="T29" s="34"/>
      <c r="U29" s="71"/>
    </row>
    <row r="30" spans="1:21" hidden="1">
      <c r="A30" s="33" t="s">
        <v>139</v>
      </c>
      <c r="B30" s="34">
        <v>1</v>
      </c>
      <c r="C30" s="34">
        <v>1964</v>
      </c>
      <c r="D30" s="34">
        <v>1964</v>
      </c>
      <c r="E30" s="34">
        <v>1964</v>
      </c>
      <c r="F30" s="34">
        <v>1964</v>
      </c>
      <c r="G30" s="34">
        <v>1964</v>
      </c>
      <c r="H30" s="34">
        <v>1964</v>
      </c>
      <c r="I30" s="34">
        <v>1964</v>
      </c>
      <c r="J30" s="35">
        <v>0</v>
      </c>
      <c r="K30" s="36">
        <v>0.50916496945010103</v>
      </c>
      <c r="L30" s="37">
        <v>5840.2544631491801</v>
      </c>
      <c r="M30" s="36">
        <v>9.2982274694501002E-2</v>
      </c>
      <c r="N30" s="1" t="str">
        <f t="shared" si="8"/>
        <v>1964 (0.033 mins)</v>
      </c>
      <c r="O30" s="34"/>
      <c r="P30" s="34"/>
      <c r="Q30" s="34"/>
      <c r="R30" s="34"/>
      <c r="S30" s="34"/>
      <c r="T30" s="34"/>
      <c r="U30" s="71"/>
    </row>
    <row r="31" spans="1:21" hidden="1">
      <c r="A31" s="33" t="s">
        <v>140</v>
      </c>
      <c r="B31" s="34">
        <v>1</v>
      </c>
      <c r="C31" s="34">
        <v>1970</v>
      </c>
      <c r="D31" s="34">
        <v>1970</v>
      </c>
      <c r="E31" s="34">
        <v>1970</v>
      </c>
      <c r="F31" s="34">
        <v>1970</v>
      </c>
      <c r="G31" s="34">
        <v>1970</v>
      </c>
      <c r="H31" s="34">
        <v>1970</v>
      </c>
      <c r="I31" s="34">
        <v>1970</v>
      </c>
      <c r="J31" s="35">
        <v>0</v>
      </c>
      <c r="K31" s="36">
        <v>0.50761421319796896</v>
      </c>
      <c r="L31" s="37">
        <v>5841.9108899111598</v>
      </c>
      <c r="M31" s="36">
        <v>9.1707645939086299E-2</v>
      </c>
      <c r="N31" s="1" t="str">
        <f t="shared" si="8"/>
        <v>1970 (0.033 mins)</v>
      </c>
      <c r="O31" s="34"/>
      <c r="P31" s="34"/>
      <c r="Q31" s="34"/>
      <c r="R31" s="34"/>
      <c r="S31" s="34"/>
      <c r="T31" s="34"/>
      <c r="U31" s="71"/>
    </row>
    <row r="32" spans="1:21" hidden="1">
      <c r="A32" s="33" t="s">
        <v>141</v>
      </c>
      <c r="B32" s="34">
        <v>1</v>
      </c>
      <c r="C32" s="34">
        <v>269</v>
      </c>
      <c r="D32" s="34">
        <v>269</v>
      </c>
      <c r="E32" s="34">
        <v>269</v>
      </c>
      <c r="F32" s="34">
        <v>269</v>
      </c>
      <c r="G32" s="34">
        <v>269</v>
      </c>
      <c r="H32" s="34">
        <v>269</v>
      </c>
      <c r="I32" s="34">
        <v>269</v>
      </c>
      <c r="J32" s="35">
        <v>0</v>
      </c>
      <c r="K32" s="36">
        <v>3.7174721189590998</v>
      </c>
      <c r="L32" s="37">
        <v>227.24500464683999</v>
      </c>
      <c r="M32" s="36">
        <v>0.67161361524163499</v>
      </c>
      <c r="N32" s="1" t="str">
        <f t="shared" si="8"/>
        <v>269 (0.004 mins)</v>
      </c>
      <c r="O32" s="34"/>
      <c r="P32" s="34"/>
      <c r="Q32" s="34"/>
      <c r="R32" s="34"/>
      <c r="S32" s="34"/>
      <c r="T32" s="34"/>
      <c r="U32" s="71"/>
    </row>
    <row r="33" spans="1:21" ht="15" hidden="1" thickBot="1">
      <c r="A33" s="38" t="s">
        <v>128</v>
      </c>
      <c r="B33" s="39">
        <v>10</v>
      </c>
      <c r="C33" s="39">
        <v>130490</v>
      </c>
      <c r="D33" s="39">
        <v>5681</v>
      </c>
      <c r="E33" s="39">
        <v>99170</v>
      </c>
      <c r="F33" s="39">
        <v>99170</v>
      </c>
      <c r="G33" s="39">
        <v>1163855</v>
      </c>
      <c r="H33" s="39">
        <v>269</v>
      </c>
      <c r="I33" s="39">
        <v>1163855</v>
      </c>
      <c r="J33" s="40">
        <v>0</v>
      </c>
      <c r="K33" s="41">
        <v>7.6214342167337697E-3</v>
      </c>
      <c r="L33" s="42">
        <v>5900.80678880086</v>
      </c>
      <c r="M33" s="41">
        <v>1.3784078290420801E-3</v>
      </c>
      <c r="N33" s="1" t="str">
        <f t="shared" si="8"/>
        <v>130490 (2.175 mins)</v>
      </c>
      <c r="O33" s="39"/>
      <c r="P33" s="39"/>
      <c r="Q33" s="39"/>
      <c r="R33" s="39"/>
      <c r="S33" s="39"/>
      <c r="T33" s="39"/>
      <c r="U33" s="72"/>
    </row>
    <row r="34" spans="1:21" hidden="1">
      <c r="A34" s="2"/>
      <c r="B34" s="2"/>
      <c r="C34" s="2"/>
      <c r="D34" s="2"/>
      <c r="E34" s="2"/>
      <c r="F34" s="2"/>
      <c r="G34" s="2"/>
      <c r="H34" s="2"/>
      <c r="I34" s="2"/>
      <c r="J34" s="2"/>
      <c r="K34" s="2"/>
      <c r="L34" s="2"/>
      <c r="M34" s="2"/>
      <c r="N34" s="1" t="str">
        <f t="shared" si="8"/>
        <v xml:space="preserve"> (0.000 mins)</v>
      </c>
      <c r="O34" s="2"/>
      <c r="P34" s="2"/>
      <c r="Q34" s="2"/>
      <c r="R34" s="2"/>
      <c r="S34" s="2"/>
      <c r="T34" s="78"/>
      <c r="U34" s="47"/>
    </row>
    <row r="35" spans="1:21">
      <c r="A35" s="21" t="s">
        <v>41</v>
      </c>
      <c r="B35" s="22" t="s">
        <v>42</v>
      </c>
      <c r="C35" s="25"/>
      <c r="D35" s="24"/>
      <c r="E35" s="25"/>
      <c r="F35" s="25"/>
      <c r="G35" s="25"/>
      <c r="H35" s="25"/>
      <c r="I35" s="25"/>
      <c r="J35" s="25"/>
      <c r="K35" s="25"/>
      <c r="N35" s="1"/>
      <c r="O35" s="9"/>
      <c r="P35" s="9"/>
      <c r="Q35" s="9"/>
      <c r="R35" s="9"/>
      <c r="S35" s="9"/>
      <c r="T35" s="77"/>
    </row>
    <row r="36" spans="1:21">
      <c r="A36" s="48" t="s">
        <v>13</v>
      </c>
      <c r="B36" s="27" t="s">
        <v>142</v>
      </c>
      <c r="C36" s="24"/>
      <c r="D36" s="24"/>
      <c r="E36" s="25"/>
      <c r="F36" s="25"/>
      <c r="G36" s="25"/>
      <c r="H36" s="25"/>
      <c r="I36" s="25"/>
      <c r="J36" s="25"/>
      <c r="K36" s="25"/>
      <c r="N36" s="1"/>
      <c r="O36" s="9"/>
      <c r="P36" s="9"/>
      <c r="Q36" s="9"/>
      <c r="R36" s="9"/>
      <c r="S36" s="9"/>
      <c r="T36" s="77"/>
    </row>
    <row r="37" spans="1:21">
      <c r="A37" s="49"/>
      <c r="B37" s="5"/>
      <c r="D37" s="9"/>
      <c r="N37" s="1"/>
      <c r="O37" s="9"/>
      <c r="P37" s="9"/>
      <c r="Q37" s="9"/>
      <c r="R37" s="9"/>
      <c r="S37" s="9"/>
      <c r="T37" s="77"/>
    </row>
    <row r="38" spans="1:21">
      <c r="A38" s="30" t="s">
        <v>114</v>
      </c>
      <c r="B38" s="31" t="s">
        <v>115</v>
      </c>
      <c r="C38" s="31" t="s">
        <v>116</v>
      </c>
      <c r="D38" s="31" t="s">
        <v>117</v>
      </c>
      <c r="E38" s="31" t="s">
        <v>118</v>
      </c>
      <c r="F38" s="31" t="s">
        <v>119</v>
      </c>
      <c r="G38" s="31" t="s">
        <v>120</v>
      </c>
      <c r="H38" s="31" t="s">
        <v>121</v>
      </c>
      <c r="I38" s="31" t="s">
        <v>122</v>
      </c>
      <c r="J38" s="31" t="s">
        <v>123</v>
      </c>
      <c r="K38" s="31" t="s">
        <v>143</v>
      </c>
      <c r="L38" s="31" t="s">
        <v>125</v>
      </c>
      <c r="M38" s="31" t="s">
        <v>126</v>
      </c>
      <c r="N38" s="31" t="s">
        <v>116</v>
      </c>
      <c r="O38" s="31" t="s">
        <v>117</v>
      </c>
      <c r="P38" s="31" t="s">
        <v>118</v>
      </c>
      <c r="Q38" s="31" t="s">
        <v>119</v>
      </c>
      <c r="R38" s="31" t="s">
        <v>120</v>
      </c>
      <c r="S38" s="31" t="s">
        <v>121</v>
      </c>
      <c r="T38" s="31" t="s">
        <v>122</v>
      </c>
      <c r="U38" s="70" t="s">
        <v>127</v>
      </c>
    </row>
    <row r="39" spans="1:21">
      <c r="A39" s="33" t="s">
        <v>33</v>
      </c>
      <c r="B39" s="34">
        <v>1</v>
      </c>
      <c r="C39" s="34">
        <v>2809</v>
      </c>
      <c r="D39" s="34">
        <v>2809</v>
      </c>
      <c r="E39" s="34">
        <v>2809</v>
      </c>
      <c r="F39" s="34">
        <v>2809</v>
      </c>
      <c r="G39" s="34">
        <v>2809</v>
      </c>
      <c r="H39" s="34">
        <v>2809</v>
      </c>
      <c r="I39" s="34">
        <v>2809</v>
      </c>
      <c r="J39" s="35">
        <v>0</v>
      </c>
      <c r="K39" s="36">
        <v>0.35599999999999998</v>
      </c>
      <c r="L39" s="37">
        <v>7.0000000000000007E-2</v>
      </c>
      <c r="M39" s="34">
        <v>0.16</v>
      </c>
      <c r="N39" s="50" t="str">
        <f>C39&amp;" ("&amp;TEXT(C39/1000,"0.000")&amp;" secs)"</f>
        <v>2809 (2.809 secs)</v>
      </c>
      <c r="O39" s="52" t="str">
        <f>D39&amp;" ("&amp;TEXT(D39/1000,"0.000")&amp;" secs)"</f>
        <v>2809 (2.809 secs)</v>
      </c>
      <c r="P39" s="52" t="str">
        <f t="shared" ref="P39" si="9">E39&amp;" ("&amp;TEXT(E39/1000,"0.000")&amp;" secs)"</f>
        <v>2809 (2.809 secs)</v>
      </c>
      <c r="Q39" s="52" t="str">
        <f t="shared" ref="Q39" si="10">F39&amp;" ("&amp;TEXT(F39/1000,"0.000")&amp;" secs)"</f>
        <v>2809 (2.809 secs)</v>
      </c>
      <c r="R39" s="52" t="str">
        <f t="shared" ref="R39" si="11">G39&amp;" ("&amp;TEXT(G39/1000,"0.000")&amp;" secs)"</f>
        <v>2809 (2.809 secs)</v>
      </c>
      <c r="S39" s="52" t="str">
        <f t="shared" ref="S39" si="12">H39&amp;" ("&amp;TEXT(H39/1000,"0.000")&amp;" secs)"</f>
        <v>2809 (2.809 secs)</v>
      </c>
      <c r="T39" s="52" t="str">
        <f t="shared" ref="T39" si="13">I39&amp;" ("&amp;TEXT(I39/1000,"0.000")&amp;" secs)"</f>
        <v>2809 (2.809 secs)</v>
      </c>
      <c r="U39" s="71" t="s">
        <v>144</v>
      </c>
    </row>
    <row r="40" spans="1:21">
      <c r="A40" s="33" t="s">
        <v>38</v>
      </c>
      <c r="B40" s="34">
        <v>1</v>
      </c>
      <c r="C40" s="34">
        <v>27</v>
      </c>
      <c r="D40" s="34">
        <v>27</v>
      </c>
      <c r="E40" s="34">
        <v>27</v>
      </c>
      <c r="F40" s="34">
        <v>27</v>
      </c>
      <c r="G40" s="34">
        <v>27</v>
      </c>
      <c r="H40" s="34">
        <v>27</v>
      </c>
      <c r="I40" s="34">
        <v>27</v>
      </c>
      <c r="J40" s="35">
        <v>0</v>
      </c>
      <c r="K40" s="36">
        <v>37.037039999999998</v>
      </c>
      <c r="L40" s="37">
        <v>82.07</v>
      </c>
      <c r="M40" s="34">
        <v>12.41</v>
      </c>
      <c r="N40" s="52" t="str">
        <f t="shared" ref="N40:N42" si="14">C40&amp;" ("&amp;TEXT(C40/1000,"0.000")&amp;" secs)"</f>
        <v>27 (0.027 secs)</v>
      </c>
      <c r="O40" s="52" t="str">
        <f t="shared" ref="O40:O43" si="15">D40&amp;" ("&amp;TEXT(D40/1000,"0.000")&amp;" secs)"</f>
        <v>27 (0.027 secs)</v>
      </c>
      <c r="P40" s="52" t="str">
        <f t="shared" ref="P40:P43" si="16">E40&amp;" ("&amp;TEXT(E40/1000,"0.000")&amp;" secs)"</f>
        <v>27 (0.027 secs)</v>
      </c>
      <c r="Q40" s="52" t="str">
        <f t="shared" ref="Q40:Q43" si="17">F40&amp;" ("&amp;TEXT(F40/1000,"0.000")&amp;" secs)"</f>
        <v>27 (0.027 secs)</v>
      </c>
      <c r="R40" s="52" t="str">
        <f t="shared" ref="R40:R43" si="18">G40&amp;" ("&amp;TEXT(G40/1000,"0.000")&amp;" secs)"</f>
        <v>27 (0.027 secs)</v>
      </c>
      <c r="S40" s="52" t="str">
        <f t="shared" ref="S40:S43" si="19">H40&amp;" ("&amp;TEXT(H40/1000,"0.000")&amp;" secs)"</f>
        <v>27 (0.027 secs)</v>
      </c>
      <c r="T40" s="52" t="str">
        <f t="shared" ref="T40:T43" si="20">I40&amp;" ("&amp;TEXT(I40/1000,"0.000")&amp;" secs)"</f>
        <v>27 (0.027 secs)</v>
      </c>
      <c r="U40" s="71"/>
    </row>
    <row r="41" spans="1:21">
      <c r="A41" s="33" t="s">
        <v>39</v>
      </c>
      <c r="B41" s="34">
        <v>1</v>
      </c>
      <c r="C41" s="34">
        <v>22</v>
      </c>
      <c r="D41" s="34">
        <v>22</v>
      </c>
      <c r="E41" s="34">
        <v>22</v>
      </c>
      <c r="F41" s="34">
        <v>22</v>
      </c>
      <c r="G41" s="34">
        <v>22</v>
      </c>
      <c r="H41" s="34">
        <v>22</v>
      </c>
      <c r="I41" s="34">
        <v>22</v>
      </c>
      <c r="J41" s="35">
        <v>0</v>
      </c>
      <c r="K41" s="36">
        <v>45.454549999999998</v>
      </c>
      <c r="L41" s="37">
        <v>9.59</v>
      </c>
      <c r="M41" s="34">
        <v>17.09</v>
      </c>
      <c r="N41" s="52" t="str">
        <f t="shared" si="14"/>
        <v>22 (0.022 secs)</v>
      </c>
      <c r="O41" s="52" t="str">
        <f t="shared" si="15"/>
        <v>22 (0.022 secs)</v>
      </c>
      <c r="P41" s="52" t="str">
        <f t="shared" si="16"/>
        <v>22 (0.022 secs)</v>
      </c>
      <c r="Q41" s="52" t="str">
        <f t="shared" si="17"/>
        <v>22 (0.022 secs)</v>
      </c>
      <c r="R41" s="52" t="str">
        <f t="shared" si="18"/>
        <v>22 (0.022 secs)</v>
      </c>
      <c r="S41" s="52" t="str">
        <f t="shared" si="19"/>
        <v>22 (0.022 secs)</v>
      </c>
      <c r="T41" s="52" t="str">
        <f t="shared" si="20"/>
        <v>22 (0.022 secs)</v>
      </c>
      <c r="U41" s="71"/>
    </row>
    <row r="42" spans="1:21">
      <c r="A42" s="33" t="s">
        <v>40</v>
      </c>
      <c r="B42" s="34">
        <v>1</v>
      </c>
      <c r="C42" s="34">
        <v>17</v>
      </c>
      <c r="D42" s="34">
        <v>17</v>
      </c>
      <c r="E42" s="34">
        <v>17</v>
      </c>
      <c r="F42" s="34">
        <v>17</v>
      </c>
      <c r="G42" s="34">
        <v>17</v>
      </c>
      <c r="H42" s="34">
        <v>17</v>
      </c>
      <c r="I42" s="34">
        <v>17</v>
      </c>
      <c r="J42" s="35">
        <v>0</v>
      </c>
      <c r="K42" s="36">
        <v>58.823529999999998</v>
      </c>
      <c r="L42" s="37">
        <v>18.670000000000002</v>
      </c>
      <c r="M42" s="34">
        <v>21.14</v>
      </c>
      <c r="N42" s="52" t="str">
        <f t="shared" si="14"/>
        <v>17 (0.017 secs)</v>
      </c>
      <c r="O42" s="52" t="str">
        <f t="shared" si="15"/>
        <v>17 (0.017 secs)</v>
      </c>
      <c r="P42" s="52" t="str">
        <f t="shared" si="16"/>
        <v>17 (0.017 secs)</v>
      </c>
      <c r="Q42" s="52" t="str">
        <f t="shared" si="17"/>
        <v>17 (0.017 secs)</v>
      </c>
      <c r="R42" s="52" t="str">
        <f t="shared" si="18"/>
        <v>17 (0.017 secs)</v>
      </c>
      <c r="S42" s="52" t="str">
        <f t="shared" si="19"/>
        <v>17 (0.017 secs)</v>
      </c>
      <c r="T42" s="52" t="str">
        <f t="shared" si="20"/>
        <v>17 (0.017 secs)</v>
      </c>
      <c r="U42" s="71"/>
    </row>
    <row r="43" spans="1:21" ht="15" thickBot="1">
      <c r="A43" s="38" t="s">
        <v>128</v>
      </c>
      <c r="B43" s="39">
        <v>4</v>
      </c>
      <c r="C43" s="39">
        <v>718</v>
      </c>
      <c r="D43" s="39">
        <v>22</v>
      </c>
      <c r="E43" s="39">
        <v>2809</v>
      </c>
      <c r="F43" s="39">
        <v>2809</v>
      </c>
      <c r="G43" s="39">
        <v>2809</v>
      </c>
      <c r="H43" s="39">
        <v>17</v>
      </c>
      <c r="I43" s="39">
        <v>2809</v>
      </c>
      <c r="J43" s="40">
        <v>0</v>
      </c>
      <c r="K43" s="41">
        <v>1.3903399999999999</v>
      </c>
      <c r="L43" s="42">
        <v>1.02</v>
      </c>
      <c r="M43" s="39">
        <v>0.53</v>
      </c>
      <c r="N43" s="53" t="str">
        <f t="shared" ref="N43" si="21">C43&amp;" ("&amp;TEXT(C43/1000,"0.000")&amp;" secs)"</f>
        <v>718 (0.718 secs)</v>
      </c>
      <c r="O43" s="53" t="str">
        <f t="shared" si="15"/>
        <v>22 (0.022 secs)</v>
      </c>
      <c r="P43" s="53" t="str">
        <f t="shared" si="16"/>
        <v>2809 (2.809 secs)</v>
      </c>
      <c r="Q43" s="53" t="str">
        <f t="shared" si="17"/>
        <v>2809 (2.809 secs)</v>
      </c>
      <c r="R43" s="53" t="str">
        <f t="shared" si="18"/>
        <v>2809 (2.809 secs)</v>
      </c>
      <c r="S43" s="53" t="str">
        <f t="shared" si="19"/>
        <v>17 (0.017 secs)</v>
      </c>
      <c r="T43" s="53" t="str">
        <f t="shared" si="20"/>
        <v>2809 (2.809 secs)</v>
      </c>
      <c r="U43" s="73"/>
    </row>
    <row r="45" spans="1:21">
      <c r="A45" s="21" t="s">
        <v>43</v>
      </c>
      <c r="B45" s="22" t="s">
        <v>44</v>
      </c>
      <c r="C45" s="25"/>
      <c r="D45" s="24"/>
      <c r="E45" s="25"/>
      <c r="F45" s="25"/>
      <c r="G45" s="25"/>
      <c r="H45" s="25"/>
      <c r="I45" s="25"/>
      <c r="J45" s="25"/>
      <c r="K45" s="25"/>
      <c r="N45" s="1"/>
      <c r="O45" s="9"/>
      <c r="P45" s="9"/>
      <c r="Q45" s="9"/>
      <c r="R45" s="9"/>
      <c r="S45" s="9"/>
      <c r="T45" s="77"/>
    </row>
    <row r="46" spans="1:21">
      <c r="A46" s="48" t="s">
        <v>13</v>
      </c>
      <c r="B46" s="27" t="s">
        <v>45</v>
      </c>
      <c r="C46" s="24"/>
      <c r="D46" s="24"/>
      <c r="E46" s="25"/>
      <c r="F46" s="25"/>
      <c r="G46" s="25"/>
      <c r="H46" s="25"/>
      <c r="I46" s="25"/>
      <c r="J46" s="25"/>
      <c r="K46" s="25"/>
      <c r="N46" s="1"/>
      <c r="O46" s="9"/>
      <c r="P46" s="9"/>
      <c r="Q46" s="9"/>
      <c r="R46" s="9"/>
      <c r="S46" s="9"/>
      <c r="T46" s="77"/>
    </row>
    <row r="47" spans="1:21">
      <c r="A47" s="49"/>
      <c r="B47" s="5"/>
      <c r="D47" s="9"/>
      <c r="N47" s="1"/>
      <c r="O47" s="9"/>
      <c r="P47" s="9"/>
      <c r="Q47" s="9"/>
      <c r="R47" s="9"/>
      <c r="S47" s="9"/>
      <c r="T47" s="77"/>
    </row>
    <row r="48" spans="1:21">
      <c r="A48" s="30" t="s">
        <v>114</v>
      </c>
      <c r="B48" s="31" t="s">
        <v>115</v>
      </c>
      <c r="C48" s="31" t="s">
        <v>116</v>
      </c>
      <c r="D48" s="31" t="s">
        <v>117</v>
      </c>
      <c r="E48" s="31" t="s">
        <v>118</v>
      </c>
      <c r="F48" s="31" t="s">
        <v>119</v>
      </c>
      <c r="G48" s="31" t="s">
        <v>120</v>
      </c>
      <c r="H48" s="31" t="s">
        <v>121</v>
      </c>
      <c r="I48" s="31" t="s">
        <v>122</v>
      </c>
      <c r="J48" s="31" t="s">
        <v>123</v>
      </c>
      <c r="K48" s="31" t="s">
        <v>143</v>
      </c>
      <c r="L48" s="31" t="s">
        <v>125</v>
      </c>
      <c r="M48" s="31" t="s">
        <v>126</v>
      </c>
      <c r="N48" s="31" t="s">
        <v>116</v>
      </c>
      <c r="O48" s="31" t="s">
        <v>117</v>
      </c>
      <c r="P48" s="31" t="s">
        <v>118</v>
      </c>
      <c r="Q48" s="31" t="s">
        <v>119</v>
      </c>
      <c r="R48" s="31" t="s">
        <v>120</v>
      </c>
      <c r="S48" s="31" t="s">
        <v>121</v>
      </c>
      <c r="T48" s="31" t="s">
        <v>122</v>
      </c>
      <c r="U48" s="70" t="s">
        <v>127</v>
      </c>
    </row>
    <row r="49" spans="1:21">
      <c r="A49" s="33" t="s">
        <v>33</v>
      </c>
      <c r="B49" s="34">
        <v>1</v>
      </c>
      <c r="C49" s="34">
        <v>2630</v>
      </c>
      <c r="D49" s="34">
        <v>2630</v>
      </c>
      <c r="E49" s="34">
        <v>2630</v>
      </c>
      <c r="F49" s="34">
        <v>2630</v>
      </c>
      <c r="G49" s="34">
        <v>2630</v>
      </c>
      <c r="H49" s="34">
        <v>2630</v>
      </c>
      <c r="I49" s="34">
        <v>2630</v>
      </c>
      <c r="J49" s="35">
        <v>0</v>
      </c>
      <c r="K49" s="36">
        <v>0.38023000000000001</v>
      </c>
      <c r="L49" s="37">
        <v>0.08</v>
      </c>
      <c r="M49" s="34">
        <v>0.17</v>
      </c>
      <c r="N49" s="50" t="str">
        <f>C49&amp;" ("&amp;TEXT(C49/1000,"0.000")&amp;" secs)"</f>
        <v>2630 (2.630 secs)</v>
      </c>
      <c r="O49" s="52" t="str">
        <f>D49&amp;" ("&amp;TEXT(D49/1000,"0.000")&amp;" secs)"</f>
        <v>2630 (2.630 secs)</v>
      </c>
      <c r="P49" s="52" t="str">
        <f t="shared" ref="P49" si="22">E49&amp;" ("&amp;TEXT(E49/1000,"0.000")&amp;" secs)"</f>
        <v>2630 (2.630 secs)</v>
      </c>
      <c r="Q49" s="52" t="str">
        <f t="shared" ref="Q49" si="23">F49&amp;" ("&amp;TEXT(F49/1000,"0.000")&amp;" secs)"</f>
        <v>2630 (2.630 secs)</v>
      </c>
      <c r="R49" s="52" t="str">
        <f t="shared" ref="R49" si="24">G49&amp;" ("&amp;TEXT(G49/1000,"0.000")&amp;" secs)"</f>
        <v>2630 (2.630 secs)</v>
      </c>
      <c r="S49" s="52" t="str">
        <f t="shared" ref="S49" si="25">H49&amp;" ("&amp;TEXT(H49/1000,"0.000")&amp;" secs)"</f>
        <v>2630 (2.630 secs)</v>
      </c>
      <c r="T49" s="52" t="str">
        <f t="shared" ref="T49" si="26">I49&amp;" ("&amp;TEXT(I49/1000,"0.000")&amp;" secs)"</f>
        <v>2630 (2.630 secs)</v>
      </c>
      <c r="U49" s="71" t="s">
        <v>144</v>
      </c>
    </row>
    <row r="50" spans="1:21">
      <c r="A50" s="33" t="s">
        <v>38</v>
      </c>
      <c r="B50" s="34">
        <v>1</v>
      </c>
      <c r="C50" s="34">
        <v>32</v>
      </c>
      <c r="D50" s="34">
        <v>32</v>
      </c>
      <c r="E50" s="34">
        <v>32</v>
      </c>
      <c r="F50" s="34">
        <v>32</v>
      </c>
      <c r="G50" s="34">
        <v>32</v>
      </c>
      <c r="H50" s="34">
        <v>32</v>
      </c>
      <c r="I50" s="34">
        <v>32</v>
      </c>
      <c r="J50" s="35">
        <v>0</v>
      </c>
      <c r="K50" s="36">
        <v>31.25</v>
      </c>
      <c r="L50" s="37">
        <v>82.15</v>
      </c>
      <c r="M50" s="34">
        <v>10.47</v>
      </c>
      <c r="N50" s="52" t="str">
        <f t="shared" ref="N50:N53" si="27">C50&amp;" ("&amp;TEXT(C50/1000,"0.000")&amp;" secs)"</f>
        <v>32 (0.032 secs)</v>
      </c>
      <c r="O50" s="52" t="str">
        <f t="shared" ref="O50:O53" si="28">D50&amp;" ("&amp;TEXT(D50/1000,"0.000")&amp;" secs)"</f>
        <v>32 (0.032 secs)</v>
      </c>
      <c r="P50" s="52" t="str">
        <f t="shared" ref="P50:P53" si="29">E50&amp;" ("&amp;TEXT(E50/1000,"0.000")&amp;" secs)"</f>
        <v>32 (0.032 secs)</v>
      </c>
      <c r="Q50" s="52" t="str">
        <f t="shared" ref="Q50:Q53" si="30">F50&amp;" ("&amp;TEXT(F50/1000,"0.000")&amp;" secs)"</f>
        <v>32 (0.032 secs)</v>
      </c>
      <c r="R50" s="52" t="str">
        <f t="shared" ref="R50:R53" si="31">G50&amp;" ("&amp;TEXT(G50/1000,"0.000")&amp;" secs)"</f>
        <v>32 (0.032 secs)</v>
      </c>
      <c r="S50" s="52" t="str">
        <f t="shared" ref="S50:S53" si="32">H50&amp;" ("&amp;TEXT(H50/1000,"0.000")&amp;" secs)"</f>
        <v>32 (0.032 secs)</v>
      </c>
      <c r="T50" s="52" t="str">
        <f t="shared" ref="T50:T53" si="33">I50&amp;" ("&amp;TEXT(I50/1000,"0.000")&amp;" secs)"</f>
        <v>32 (0.032 secs)</v>
      </c>
      <c r="U50" s="71"/>
    </row>
    <row r="51" spans="1:21">
      <c r="A51" s="33" t="s">
        <v>39</v>
      </c>
      <c r="B51" s="34">
        <v>1</v>
      </c>
      <c r="C51" s="34">
        <v>18</v>
      </c>
      <c r="D51" s="34">
        <v>18</v>
      </c>
      <c r="E51" s="34">
        <v>18</v>
      </c>
      <c r="F51" s="34">
        <v>18</v>
      </c>
      <c r="G51" s="34">
        <v>18</v>
      </c>
      <c r="H51" s="34">
        <v>18</v>
      </c>
      <c r="I51" s="34">
        <v>18</v>
      </c>
      <c r="J51" s="35">
        <v>0</v>
      </c>
      <c r="K51" s="36">
        <v>55.55556</v>
      </c>
      <c r="L51" s="37">
        <v>11.72</v>
      </c>
      <c r="M51" s="34">
        <v>20.89</v>
      </c>
      <c r="N51" s="52" t="str">
        <f t="shared" si="27"/>
        <v>18 (0.018 secs)</v>
      </c>
      <c r="O51" s="52" t="str">
        <f t="shared" si="28"/>
        <v>18 (0.018 secs)</v>
      </c>
      <c r="P51" s="52" t="str">
        <f t="shared" si="29"/>
        <v>18 (0.018 secs)</v>
      </c>
      <c r="Q51" s="52" t="str">
        <f t="shared" si="30"/>
        <v>18 (0.018 secs)</v>
      </c>
      <c r="R51" s="52" t="str">
        <f t="shared" si="31"/>
        <v>18 (0.018 secs)</v>
      </c>
      <c r="S51" s="52" t="str">
        <f t="shared" si="32"/>
        <v>18 (0.018 secs)</v>
      </c>
      <c r="T51" s="52" t="str">
        <f t="shared" si="33"/>
        <v>18 (0.018 secs)</v>
      </c>
      <c r="U51" s="71"/>
    </row>
    <row r="52" spans="1:21">
      <c r="A52" s="33" t="s">
        <v>40</v>
      </c>
      <c r="B52" s="34">
        <v>1</v>
      </c>
      <c r="C52" s="34">
        <v>18</v>
      </c>
      <c r="D52" s="34">
        <v>18</v>
      </c>
      <c r="E52" s="34">
        <v>18</v>
      </c>
      <c r="F52" s="34">
        <v>18</v>
      </c>
      <c r="G52" s="34">
        <v>18</v>
      </c>
      <c r="H52" s="34">
        <v>18</v>
      </c>
      <c r="I52" s="34">
        <v>18</v>
      </c>
      <c r="J52" s="35">
        <v>0</v>
      </c>
      <c r="K52" s="36">
        <v>55.55556</v>
      </c>
      <c r="L52" s="37">
        <v>17.63</v>
      </c>
      <c r="M52" s="34">
        <v>19.97</v>
      </c>
      <c r="N52" s="52" t="str">
        <f t="shared" si="27"/>
        <v>18 (0.018 secs)</v>
      </c>
      <c r="O52" s="52" t="str">
        <f t="shared" si="28"/>
        <v>18 (0.018 secs)</v>
      </c>
      <c r="P52" s="52" t="str">
        <f t="shared" si="29"/>
        <v>18 (0.018 secs)</v>
      </c>
      <c r="Q52" s="52" t="str">
        <f t="shared" si="30"/>
        <v>18 (0.018 secs)</v>
      </c>
      <c r="R52" s="52" t="str">
        <f t="shared" si="31"/>
        <v>18 (0.018 secs)</v>
      </c>
      <c r="S52" s="52" t="str">
        <f t="shared" si="32"/>
        <v>18 (0.018 secs)</v>
      </c>
      <c r="T52" s="52" t="str">
        <f t="shared" si="33"/>
        <v>18 (0.018 secs)</v>
      </c>
      <c r="U52" s="71"/>
    </row>
    <row r="53" spans="1:21" ht="15" thickBot="1">
      <c r="A53" s="38" t="s">
        <v>128</v>
      </c>
      <c r="B53" s="39">
        <v>4</v>
      </c>
      <c r="C53" s="39">
        <v>674</v>
      </c>
      <c r="D53" s="39">
        <v>18</v>
      </c>
      <c r="E53" s="39">
        <v>2630</v>
      </c>
      <c r="F53" s="39">
        <v>2630</v>
      </c>
      <c r="G53" s="39">
        <v>2630</v>
      </c>
      <c r="H53" s="39">
        <v>18</v>
      </c>
      <c r="I53" s="39">
        <v>2630</v>
      </c>
      <c r="J53" s="40">
        <v>0</v>
      </c>
      <c r="K53" s="41">
        <v>1.4814799999999999</v>
      </c>
      <c r="L53" s="42">
        <v>1.24</v>
      </c>
      <c r="M53" s="39">
        <v>0.56000000000000005</v>
      </c>
      <c r="N53" s="53" t="str">
        <f t="shared" si="27"/>
        <v>674 (0.674 secs)</v>
      </c>
      <c r="O53" s="53" t="str">
        <f t="shared" si="28"/>
        <v>18 (0.018 secs)</v>
      </c>
      <c r="P53" s="53" t="str">
        <f t="shared" si="29"/>
        <v>2630 (2.630 secs)</v>
      </c>
      <c r="Q53" s="53" t="str">
        <f t="shared" si="30"/>
        <v>2630 (2.630 secs)</v>
      </c>
      <c r="R53" s="53" t="str">
        <f t="shared" si="31"/>
        <v>2630 (2.630 secs)</v>
      </c>
      <c r="S53" s="53" t="str">
        <f t="shared" si="32"/>
        <v>18 (0.018 secs)</v>
      </c>
      <c r="T53" s="53" t="str">
        <f t="shared" si="33"/>
        <v>2630 (2.630 secs)</v>
      </c>
      <c r="U53" s="72"/>
    </row>
    <row r="55" spans="1:21">
      <c r="A55" s="21" t="s">
        <v>46</v>
      </c>
      <c r="B55" s="22" t="s">
        <v>47</v>
      </c>
      <c r="C55" s="25"/>
      <c r="D55" s="24"/>
      <c r="E55" s="25"/>
      <c r="F55" s="25"/>
      <c r="G55" s="25"/>
      <c r="H55" s="25"/>
      <c r="I55" s="25"/>
      <c r="J55" s="25"/>
      <c r="K55" s="25"/>
      <c r="N55" s="1"/>
      <c r="O55" s="9"/>
      <c r="P55" s="9"/>
      <c r="Q55" s="9"/>
      <c r="R55" s="9"/>
      <c r="S55" s="9"/>
      <c r="T55" s="77"/>
    </row>
    <row r="56" spans="1:21">
      <c r="A56" s="48" t="s">
        <v>13</v>
      </c>
      <c r="B56" s="27" t="s">
        <v>48</v>
      </c>
      <c r="C56" s="24"/>
      <c r="D56" s="24"/>
      <c r="E56" s="25"/>
      <c r="F56" s="25"/>
      <c r="G56" s="25"/>
      <c r="H56" s="25"/>
      <c r="I56" s="25"/>
      <c r="J56" s="25"/>
      <c r="K56" s="25"/>
      <c r="N56" s="1"/>
      <c r="O56" s="9"/>
      <c r="P56" s="9"/>
      <c r="Q56" s="9"/>
      <c r="R56" s="9"/>
      <c r="S56" s="9"/>
      <c r="T56" s="77"/>
    </row>
    <row r="57" spans="1:21">
      <c r="A57" s="49"/>
      <c r="B57" s="5"/>
      <c r="D57" s="9"/>
      <c r="N57" s="1"/>
      <c r="O57" s="9"/>
      <c r="P57" s="9"/>
      <c r="Q57" s="9"/>
      <c r="R57" s="9"/>
      <c r="S57" s="9"/>
      <c r="T57" s="77"/>
    </row>
    <row r="58" spans="1:21">
      <c r="A58" s="30" t="s">
        <v>114</v>
      </c>
      <c r="B58" s="31" t="s">
        <v>115</v>
      </c>
      <c r="C58" s="31" t="s">
        <v>116</v>
      </c>
      <c r="D58" s="31" t="s">
        <v>117</v>
      </c>
      <c r="E58" s="31" t="s">
        <v>118</v>
      </c>
      <c r="F58" s="31" t="s">
        <v>119</v>
      </c>
      <c r="G58" s="31" t="s">
        <v>120</v>
      </c>
      <c r="H58" s="31" t="s">
        <v>121</v>
      </c>
      <c r="I58" s="31" t="s">
        <v>122</v>
      </c>
      <c r="J58" s="31" t="s">
        <v>123</v>
      </c>
      <c r="K58" s="31" t="s">
        <v>143</v>
      </c>
      <c r="L58" s="31" t="s">
        <v>125</v>
      </c>
      <c r="M58" s="31" t="s">
        <v>126</v>
      </c>
      <c r="N58" s="31" t="s">
        <v>116</v>
      </c>
      <c r="O58" s="31" t="s">
        <v>117</v>
      </c>
      <c r="P58" s="31" t="s">
        <v>118</v>
      </c>
      <c r="Q58" s="31" t="s">
        <v>119</v>
      </c>
      <c r="R58" s="31" t="s">
        <v>120</v>
      </c>
      <c r="S58" s="31" t="s">
        <v>121</v>
      </c>
      <c r="T58" s="31" t="s">
        <v>122</v>
      </c>
      <c r="U58" s="70" t="s">
        <v>127</v>
      </c>
    </row>
    <row r="59" spans="1:21">
      <c r="A59" s="33" t="s">
        <v>33</v>
      </c>
      <c r="B59" s="34">
        <v>1</v>
      </c>
      <c r="C59" s="34">
        <v>3360</v>
      </c>
      <c r="D59" s="34">
        <v>3360</v>
      </c>
      <c r="E59" s="34">
        <v>3360</v>
      </c>
      <c r="F59" s="34">
        <v>3360</v>
      </c>
      <c r="G59" s="34">
        <v>3360</v>
      </c>
      <c r="H59" s="34">
        <v>3360</v>
      </c>
      <c r="I59" s="34">
        <v>3360</v>
      </c>
      <c r="J59" s="35">
        <v>0</v>
      </c>
      <c r="K59" s="36">
        <v>0.29762</v>
      </c>
      <c r="L59" s="37">
        <v>0.06</v>
      </c>
      <c r="M59" s="34">
        <v>0.13</v>
      </c>
      <c r="N59" s="50" t="str">
        <f>C59&amp;" ("&amp;TEXT(C59/1000,"0.000")&amp;" secs)"</f>
        <v>3360 (3.360 secs)</v>
      </c>
      <c r="O59" s="52" t="str">
        <f>D59&amp;" ("&amp;TEXT(D59/1000,"0.000")&amp;" secs)"</f>
        <v>3360 (3.360 secs)</v>
      </c>
      <c r="P59" s="52" t="str">
        <f t="shared" ref="P59:P63" si="34">E59&amp;" ("&amp;TEXT(E59/1000,"0.000")&amp;" secs)"</f>
        <v>3360 (3.360 secs)</v>
      </c>
      <c r="Q59" s="52" t="str">
        <f t="shared" ref="Q59:Q63" si="35">F59&amp;" ("&amp;TEXT(F59/1000,"0.000")&amp;" secs)"</f>
        <v>3360 (3.360 secs)</v>
      </c>
      <c r="R59" s="52" t="str">
        <f t="shared" ref="R59:R63" si="36">G59&amp;" ("&amp;TEXT(G59/1000,"0.000")&amp;" secs)"</f>
        <v>3360 (3.360 secs)</v>
      </c>
      <c r="S59" s="52" t="str">
        <f t="shared" ref="S59:S63" si="37">H59&amp;" ("&amp;TEXT(H59/1000,"0.000")&amp;" secs)"</f>
        <v>3360 (3.360 secs)</v>
      </c>
      <c r="T59" s="52" t="str">
        <f t="shared" ref="T59:T63" si="38">I59&amp;" ("&amp;TEXT(I59/1000,"0.000")&amp;" secs)"</f>
        <v>3360 (3.360 secs)</v>
      </c>
      <c r="U59" s="71" t="s">
        <v>144</v>
      </c>
    </row>
    <row r="60" spans="1:21">
      <c r="A60" s="33" t="s">
        <v>38</v>
      </c>
      <c r="B60" s="34">
        <v>1</v>
      </c>
      <c r="C60" s="34">
        <v>37</v>
      </c>
      <c r="D60" s="34">
        <v>37</v>
      </c>
      <c r="E60" s="34">
        <v>37</v>
      </c>
      <c r="F60" s="34">
        <v>37</v>
      </c>
      <c r="G60" s="34">
        <v>37</v>
      </c>
      <c r="H60" s="34">
        <v>37</v>
      </c>
      <c r="I60" s="34">
        <v>37</v>
      </c>
      <c r="J60" s="35">
        <v>0</v>
      </c>
      <c r="K60" s="36">
        <v>27.02703</v>
      </c>
      <c r="L60" s="37">
        <v>82.24</v>
      </c>
      <c r="M60" s="34">
        <v>9.0500000000000007</v>
      </c>
      <c r="N60" s="52" t="str">
        <f t="shared" ref="N60:N63" si="39">C60&amp;" ("&amp;TEXT(C60/1000,"0.000")&amp;" secs)"</f>
        <v>37 (0.037 secs)</v>
      </c>
      <c r="O60" s="52" t="str">
        <f t="shared" ref="O60:O63" si="40">D60&amp;" ("&amp;TEXT(D60/1000,"0.000")&amp;" secs)"</f>
        <v>37 (0.037 secs)</v>
      </c>
      <c r="P60" s="52" t="str">
        <f t="shared" si="34"/>
        <v>37 (0.037 secs)</v>
      </c>
      <c r="Q60" s="52" t="str">
        <f t="shared" si="35"/>
        <v>37 (0.037 secs)</v>
      </c>
      <c r="R60" s="52" t="str">
        <f t="shared" si="36"/>
        <v>37 (0.037 secs)</v>
      </c>
      <c r="S60" s="52" t="str">
        <f t="shared" si="37"/>
        <v>37 (0.037 secs)</v>
      </c>
      <c r="T60" s="52" t="str">
        <f t="shared" si="38"/>
        <v>37 (0.037 secs)</v>
      </c>
      <c r="U60" s="71"/>
    </row>
    <row r="61" spans="1:21">
      <c r="A61" s="33" t="s">
        <v>39</v>
      </c>
      <c r="B61" s="34">
        <v>1</v>
      </c>
      <c r="C61" s="34">
        <v>18</v>
      </c>
      <c r="D61" s="34">
        <v>18</v>
      </c>
      <c r="E61" s="34">
        <v>18</v>
      </c>
      <c r="F61" s="34">
        <v>18</v>
      </c>
      <c r="G61" s="34">
        <v>18</v>
      </c>
      <c r="H61" s="34">
        <v>18</v>
      </c>
      <c r="I61" s="34">
        <v>18</v>
      </c>
      <c r="J61" s="35">
        <v>0</v>
      </c>
      <c r="K61" s="36">
        <v>55.55556</v>
      </c>
      <c r="L61" s="37">
        <v>11.72</v>
      </c>
      <c r="M61" s="34">
        <v>20.89</v>
      </c>
      <c r="N61" s="52" t="str">
        <f t="shared" si="39"/>
        <v>18 (0.018 secs)</v>
      </c>
      <c r="O61" s="52" t="str">
        <f t="shared" si="40"/>
        <v>18 (0.018 secs)</v>
      </c>
      <c r="P61" s="52" t="str">
        <f t="shared" si="34"/>
        <v>18 (0.018 secs)</v>
      </c>
      <c r="Q61" s="52" t="str">
        <f t="shared" si="35"/>
        <v>18 (0.018 secs)</v>
      </c>
      <c r="R61" s="52" t="str">
        <f t="shared" si="36"/>
        <v>18 (0.018 secs)</v>
      </c>
      <c r="S61" s="52" t="str">
        <f t="shared" si="37"/>
        <v>18 (0.018 secs)</v>
      </c>
      <c r="T61" s="52" t="str">
        <f t="shared" si="38"/>
        <v>18 (0.018 secs)</v>
      </c>
      <c r="U61" s="71"/>
    </row>
    <row r="62" spans="1:21">
      <c r="A62" s="33" t="s">
        <v>40</v>
      </c>
      <c r="B62" s="34">
        <v>1</v>
      </c>
      <c r="C62" s="34">
        <v>23</v>
      </c>
      <c r="D62" s="34">
        <v>23</v>
      </c>
      <c r="E62" s="34">
        <v>23</v>
      </c>
      <c r="F62" s="34">
        <v>23</v>
      </c>
      <c r="G62" s="34">
        <v>23</v>
      </c>
      <c r="H62" s="34">
        <v>23</v>
      </c>
      <c r="I62" s="34">
        <v>23</v>
      </c>
      <c r="J62" s="35">
        <v>0</v>
      </c>
      <c r="K62" s="36">
        <v>43.478259999999999</v>
      </c>
      <c r="L62" s="37">
        <v>13.8</v>
      </c>
      <c r="M62" s="34">
        <v>15.62</v>
      </c>
      <c r="N62" s="52" t="str">
        <f t="shared" si="39"/>
        <v>23 (0.023 secs)</v>
      </c>
      <c r="O62" s="52" t="str">
        <f t="shared" si="40"/>
        <v>23 (0.023 secs)</v>
      </c>
      <c r="P62" s="52" t="str">
        <f t="shared" si="34"/>
        <v>23 (0.023 secs)</v>
      </c>
      <c r="Q62" s="52" t="str">
        <f t="shared" si="35"/>
        <v>23 (0.023 secs)</v>
      </c>
      <c r="R62" s="52" t="str">
        <f t="shared" si="36"/>
        <v>23 (0.023 secs)</v>
      </c>
      <c r="S62" s="52" t="str">
        <f t="shared" si="37"/>
        <v>23 (0.023 secs)</v>
      </c>
      <c r="T62" s="52" t="str">
        <f t="shared" si="38"/>
        <v>23 (0.023 secs)</v>
      </c>
      <c r="U62" s="71"/>
    </row>
    <row r="63" spans="1:21" ht="15" thickBot="1">
      <c r="A63" s="38" t="s">
        <v>128</v>
      </c>
      <c r="B63" s="39">
        <v>4</v>
      </c>
      <c r="C63" s="39">
        <v>859</v>
      </c>
      <c r="D63" s="39">
        <v>23</v>
      </c>
      <c r="E63" s="39">
        <v>3360</v>
      </c>
      <c r="F63" s="39">
        <v>3360</v>
      </c>
      <c r="G63" s="39">
        <v>3360</v>
      </c>
      <c r="H63" s="39">
        <v>18</v>
      </c>
      <c r="I63" s="39">
        <v>3360</v>
      </c>
      <c r="J63" s="40">
        <v>0</v>
      </c>
      <c r="K63" s="41">
        <v>1.16313</v>
      </c>
      <c r="L63" s="42">
        <v>1.1000000000000001</v>
      </c>
      <c r="M63" s="39">
        <v>0.44</v>
      </c>
      <c r="N63" s="53" t="str">
        <f t="shared" si="39"/>
        <v>859 (0.859 secs)</v>
      </c>
      <c r="O63" s="53" t="str">
        <f t="shared" si="40"/>
        <v>23 (0.023 secs)</v>
      </c>
      <c r="P63" s="53" t="str">
        <f t="shared" si="34"/>
        <v>3360 (3.360 secs)</v>
      </c>
      <c r="Q63" s="53" t="str">
        <f t="shared" si="35"/>
        <v>3360 (3.360 secs)</v>
      </c>
      <c r="R63" s="53" t="str">
        <f t="shared" si="36"/>
        <v>3360 (3.360 secs)</v>
      </c>
      <c r="S63" s="53" t="str">
        <f t="shared" si="37"/>
        <v>18 (0.018 secs)</v>
      </c>
      <c r="T63" s="53" t="str">
        <f t="shared" si="38"/>
        <v>3360 (3.360 secs)</v>
      </c>
      <c r="U63" s="72"/>
    </row>
    <row r="65" spans="1:21">
      <c r="A65" s="21" t="s">
        <v>49</v>
      </c>
      <c r="B65" s="22" t="s">
        <v>50</v>
      </c>
      <c r="C65" s="25"/>
      <c r="D65" s="24"/>
      <c r="E65" s="25"/>
      <c r="F65" s="25"/>
      <c r="G65" s="25"/>
      <c r="H65" s="25"/>
      <c r="I65" s="25"/>
      <c r="J65" s="25"/>
      <c r="K65" s="25"/>
      <c r="N65" s="1"/>
      <c r="O65" s="9"/>
      <c r="P65" s="9"/>
      <c r="Q65" s="9"/>
      <c r="R65" s="9"/>
      <c r="S65" s="9"/>
      <c r="T65" s="77"/>
    </row>
    <row r="66" spans="1:21">
      <c r="A66" s="48" t="s">
        <v>13</v>
      </c>
      <c r="B66" s="27" t="s">
        <v>51</v>
      </c>
      <c r="C66" s="24"/>
      <c r="D66" s="24"/>
      <c r="E66" s="25"/>
      <c r="F66" s="25"/>
      <c r="G66" s="25"/>
      <c r="H66" s="25"/>
      <c r="I66" s="25"/>
      <c r="J66" s="25"/>
      <c r="K66" s="25"/>
      <c r="N66" s="1"/>
      <c r="O66" s="9"/>
      <c r="P66" s="9"/>
      <c r="Q66" s="9"/>
      <c r="R66" s="9"/>
      <c r="S66" s="9"/>
      <c r="T66" s="77"/>
    </row>
    <row r="67" spans="1:21">
      <c r="A67" s="49"/>
      <c r="B67" s="5"/>
      <c r="D67" s="9"/>
      <c r="N67" s="1"/>
      <c r="O67" s="9"/>
      <c r="P67" s="9"/>
      <c r="Q67" s="9"/>
      <c r="R67" s="9"/>
      <c r="S67" s="9"/>
      <c r="T67" s="77"/>
    </row>
    <row r="68" spans="1:21">
      <c r="A68" s="30" t="s">
        <v>114</v>
      </c>
      <c r="B68" s="31" t="s">
        <v>115</v>
      </c>
      <c r="C68" s="31" t="s">
        <v>116</v>
      </c>
      <c r="D68" s="31" t="s">
        <v>117</v>
      </c>
      <c r="E68" s="31" t="s">
        <v>118</v>
      </c>
      <c r="F68" s="31" t="s">
        <v>119</v>
      </c>
      <c r="G68" s="31" t="s">
        <v>120</v>
      </c>
      <c r="H68" s="31" t="s">
        <v>121</v>
      </c>
      <c r="I68" s="31" t="s">
        <v>122</v>
      </c>
      <c r="J68" s="31" t="s">
        <v>123</v>
      </c>
      <c r="K68" s="31" t="s">
        <v>143</v>
      </c>
      <c r="L68" s="31" t="s">
        <v>125</v>
      </c>
      <c r="M68" s="31" t="s">
        <v>126</v>
      </c>
      <c r="N68" s="31" t="s">
        <v>116</v>
      </c>
      <c r="O68" s="31" t="s">
        <v>117</v>
      </c>
      <c r="P68" s="31" t="s">
        <v>118</v>
      </c>
      <c r="Q68" s="31" t="s">
        <v>119</v>
      </c>
      <c r="R68" s="31" t="s">
        <v>120</v>
      </c>
      <c r="S68" s="31" t="s">
        <v>121</v>
      </c>
      <c r="T68" s="31" t="s">
        <v>122</v>
      </c>
      <c r="U68" s="70" t="s">
        <v>127</v>
      </c>
    </row>
    <row r="69" spans="1:21">
      <c r="A69" s="33" t="s">
        <v>33</v>
      </c>
      <c r="B69" s="34">
        <v>1</v>
      </c>
      <c r="C69" s="34">
        <v>9090</v>
      </c>
      <c r="D69" s="34">
        <v>9090</v>
      </c>
      <c r="E69" s="34">
        <v>9090</v>
      </c>
      <c r="F69" s="34">
        <v>9090</v>
      </c>
      <c r="G69" s="34">
        <v>9090</v>
      </c>
      <c r="H69" s="34">
        <v>9090</v>
      </c>
      <c r="I69" s="34">
        <v>9090</v>
      </c>
      <c r="J69" s="35">
        <v>0</v>
      </c>
      <c r="K69" s="36">
        <v>0.11001</v>
      </c>
      <c r="L69" s="37">
        <v>0.02</v>
      </c>
      <c r="M69" s="34">
        <v>0.05</v>
      </c>
      <c r="N69" s="50" t="str">
        <f>C69&amp;" ("&amp;TEXT(C69/1000,"0.000")&amp;" secs)"</f>
        <v>9090 (9.090 secs)</v>
      </c>
      <c r="O69" s="52" t="str">
        <f>D69&amp;" ("&amp;TEXT(D69/1000,"0.000")&amp;" secs)"</f>
        <v>9090 (9.090 secs)</v>
      </c>
      <c r="P69" s="52" t="str">
        <f t="shared" ref="P69:P73" si="41">E69&amp;" ("&amp;TEXT(E69/1000,"0.000")&amp;" secs)"</f>
        <v>9090 (9.090 secs)</v>
      </c>
      <c r="Q69" s="52" t="str">
        <f t="shared" ref="Q69:Q73" si="42">F69&amp;" ("&amp;TEXT(F69/1000,"0.000")&amp;" secs)"</f>
        <v>9090 (9.090 secs)</v>
      </c>
      <c r="R69" s="52" t="str">
        <f t="shared" ref="R69:R73" si="43">G69&amp;" ("&amp;TEXT(G69/1000,"0.000")&amp;" secs)"</f>
        <v>9090 (9.090 secs)</v>
      </c>
      <c r="S69" s="52" t="str">
        <f t="shared" ref="S69:S73" si="44">H69&amp;" ("&amp;TEXT(H69/1000,"0.000")&amp;" secs)"</f>
        <v>9090 (9.090 secs)</v>
      </c>
      <c r="T69" s="52" t="str">
        <f t="shared" ref="T69:T73" si="45">I69&amp;" ("&amp;TEXT(I69/1000,"0.000")&amp;" secs)"</f>
        <v>9090 (9.090 secs)</v>
      </c>
      <c r="U69" s="71" t="s">
        <v>145</v>
      </c>
    </row>
    <row r="70" spans="1:21">
      <c r="A70" s="33" t="s">
        <v>38</v>
      </c>
      <c r="B70" s="34">
        <v>1</v>
      </c>
      <c r="C70" s="34">
        <v>38</v>
      </c>
      <c r="D70" s="34">
        <v>38</v>
      </c>
      <c r="E70" s="34">
        <v>38</v>
      </c>
      <c r="F70" s="34">
        <v>38</v>
      </c>
      <c r="G70" s="34">
        <v>38</v>
      </c>
      <c r="H70" s="34">
        <v>38</v>
      </c>
      <c r="I70" s="34">
        <v>38</v>
      </c>
      <c r="J70" s="35">
        <v>0</v>
      </c>
      <c r="K70" s="36">
        <v>26.31579</v>
      </c>
      <c r="L70" s="37">
        <v>91.15</v>
      </c>
      <c r="M70" s="34">
        <v>8.81</v>
      </c>
      <c r="N70" s="52" t="str">
        <f t="shared" ref="N70:N73" si="46">C70&amp;" ("&amp;TEXT(C70/1000,"0.000")&amp;" secs)"</f>
        <v>38 (0.038 secs)</v>
      </c>
      <c r="O70" s="52" t="str">
        <f t="shared" ref="O70:O73" si="47">D70&amp;" ("&amp;TEXT(D70/1000,"0.000")&amp;" secs)"</f>
        <v>38 (0.038 secs)</v>
      </c>
      <c r="P70" s="52" t="str">
        <f t="shared" si="41"/>
        <v>38 (0.038 secs)</v>
      </c>
      <c r="Q70" s="52" t="str">
        <f t="shared" si="42"/>
        <v>38 (0.038 secs)</v>
      </c>
      <c r="R70" s="52" t="str">
        <f t="shared" si="43"/>
        <v>38 (0.038 secs)</v>
      </c>
      <c r="S70" s="52" t="str">
        <f t="shared" si="44"/>
        <v>38 (0.038 secs)</v>
      </c>
      <c r="T70" s="52" t="str">
        <f t="shared" si="45"/>
        <v>38 (0.038 secs)</v>
      </c>
      <c r="U70" s="71"/>
    </row>
    <row r="71" spans="1:21">
      <c r="A71" s="33" t="s">
        <v>39</v>
      </c>
      <c r="B71" s="34">
        <v>1</v>
      </c>
      <c r="C71" s="34">
        <v>22</v>
      </c>
      <c r="D71" s="34">
        <v>22</v>
      </c>
      <c r="E71" s="34">
        <v>22</v>
      </c>
      <c r="F71" s="34">
        <v>22</v>
      </c>
      <c r="G71" s="34">
        <v>22</v>
      </c>
      <c r="H71" s="34">
        <v>22</v>
      </c>
      <c r="I71" s="34">
        <v>22</v>
      </c>
      <c r="J71" s="35">
        <v>0</v>
      </c>
      <c r="K71" s="36">
        <v>45.454549999999998</v>
      </c>
      <c r="L71" s="37">
        <v>12.74</v>
      </c>
      <c r="M71" s="34">
        <v>17.09</v>
      </c>
      <c r="N71" s="52" t="str">
        <f t="shared" si="46"/>
        <v>22 (0.022 secs)</v>
      </c>
      <c r="O71" s="52" t="str">
        <f t="shared" si="47"/>
        <v>22 (0.022 secs)</v>
      </c>
      <c r="P71" s="52" t="str">
        <f t="shared" si="41"/>
        <v>22 (0.022 secs)</v>
      </c>
      <c r="Q71" s="52" t="str">
        <f t="shared" si="42"/>
        <v>22 (0.022 secs)</v>
      </c>
      <c r="R71" s="52" t="str">
        <f t="shared" si="43"/>
        <v>22 (0.022 secs)</v>
      </c>
      <c r="S71" s="52" t="str">
        <f t="shared" si="44"/>
        <v>22 (0.022 secs)</v>
      </c>
      <c r="T71" s="52" t="str">
        <f t="shared" si="45"/>
        <v>22 (0.022 secs)</v>
      </c>
      <c r="U71" s="71"/>
    </row>
    <row r="72" spans="1:21">
      <c r="A72" s="33" t="s">
        <v>40</v>
      </c>
      <c r="B72" s="34">
        <v>1</v>
      </c>
      <c r="C72" s="34">
        <v>20</v>
      </c>
      <c r="D72" s="34">
        <v>20</v>
      </c>
      <c r="E72" s="34">
        <v>20</v>
      </c>
      <c r="F72" s="34">
        <v>20</v>
      </c>
      <c r="G72" s="34">
        <v>20</v>
      </c>
      <c r="H72" s="34">
        <v>20</v>
      </c>
      <c r="I72" s="34">
        <v>20</v>
      </c>
      <c r="J72" s="35">
        <v>0</v>
      </c>
      <c r="K72" s="36">
        <v>50</v>
      </c>
      <c r="L72" s="37">
        <v>30.81</v>
      </c>
      <c r="M72" s="34">
        <v>18.02</v>
      </c>
      <c r="N72" s="52" t="str">
        <f t="shared" si="46"/>
        <v>20 (0.020 secs)</v>
      </c>
      <c r="O72" s="52" t="str">
        <f t="shared" si="47"/>
        <v>20 (0.020 secs)</v>
      </c>
      <c r="P72" s="52" t="str">
        <f t="shared" si="41"/>
        <v>20 (0.020 secs)</v>
      </c>
      <c r="Q72" s="52" t="str">
        <f t="shared" si="42"/>
        <v>20 (0.020 secs)</v>
      </c>
      <c r="R72" s="52" t="str">
        <f t="shared" si="43"/>
        <v>20 (0.020 secs)</v>
      </c>
      <c r="S72" s="52" t="str">
        <f t="shared" si="44"/>
        <v>20 (0.020 secs)</v>
      </c>
      <c r="T72" s="52" t="str">
        <f t="shared" si="45"/>
        <v>20 (0.020 secs)</v>
      </c>
      <c r="U72" s="71"/>
    </row>
    <row r="73" spans="1:21" ht="15" thickBot="1">
      <c r="A73" s="38" t="s">
        <v>128</v>
      </c>
      <c r="B73" s="39">
        <v>4</v>
      </c>
      <c r="C73" s="39">
        <v>2292</v>
      </c>
      <c r="D73" s="39">
        <v>22</v>
      </c>
      <c r="E73" s="39">
        <v>9090</v>
      </c>
      <c r="F73" s="39">
        <v>9090</v>
      </c>
      <c r="G73" s="39">
        <v>9090</v>
      </c>
      <c r="H73" s="39">
        <v>20</v>
      </c>
      <c r="I73" s="39">
        <v>9090</v>
      </c>
      <c r="J73" s="40">
        <v>0</v>
      </c>
      <c r="K73" s="41">
        <v>0.43487999999999999</v>
      </c>
      <c r="L73" s="42">
        <v>0.5</v>
      </c>
      <c r="M73" s="39">
        <v>0.17</v>
      </c>
      <c r="N73" s="53" t="str">
        <f t="shared" si="46"/>
        <v>2292 (2.292 secs)</v>
      </c>
      <c r="O73" s="53" t="str">
        <f t="shared" si="47"/>
        <v>22 (0.022 secs)</v>
      </c>
      <c r="P73" s="53" t="str">
        <f t="shared" si="41"/>
        <v>9090 (9.090 secs)</v>
      </c>
      <c r="Q73" s="53" t="str">
        <f t="shared" si="42"/>
        <v>9090 (9.090 secs)</v>
      </c>
      <c r="R73" s="53" t="str">
        <f t="shared" si="43"/>
        <v>9090 (9.090 secs)</v>
      </c>
      <c r="S73" s="53" t="str">
        <f t="shared" si="44"/>
        <v>20 (0.020 secs)</v>
      </c>
      <c r="T73" s="53" t="str">
        <f t="shared" si="45"/>
        <v>9090 (9.090 secs)</v>
      </c>
      <c r="U73" s="72"/>
    </row>
    <row r="75" spans="1:21">
      <c r="A75" s="21" t="s">
        <v>52</v>
      </c>
      <c r="B75" s="22" t="s">
        <v>53</v>
      </c>
      <c r="C75" s="25"/>
      <c r="D75" s="24"/>
      <c r="E75" s="25"/>
      <c r="F75" s="25"/>
      <c r="G75" s="25"/>
      <c r="H75" s="25"/>
      <c r="I75" s="25"/>
      <c r="J75" s="25"/>
      <c r="K75" s="25"/>
      <c r="N75" s="1"/>
      <c r="O75" s="9"/>
      <c r="P75" s="9"/>
      <c r="Q75" s="9"/>
      <c r="R75" s="9"/>
      <c r="S75" s="9"/>
      <c r="T75" s="77"/>
    </row>
    <row r="76" spans="1:21">
      <c r="A76" s="48" t="s">
        <v>13</v>
      </c>
      <c r="B76" s="27" t="s">
        <v>54</v>
      </c>
      <c r="C76" s="24"/>
      <c r="D76" s="24"/>
      <c r="E76" s="25"/>
      <c r="F76" s="25"/>
      <c r="G76" s="25"/>
      <c r="H76" s="25"/>
      <c r="I76" s="25"/>
      <c r="J76" s="25"/>
      <c r="K76" s="25"/>
      <c r="N76" s="1"/>
      <c r="O76" s="9"/>
      <c r="P76" s="9"/>
      <c r="Q76" s="9"/>
      <c r="R76" s="9"/>
      <c r="S76" s="9"/>
      <c r="T76" s="77"/>
    </row>
    <row r="77" spans="1:21">
      <c r="A77" s="49"/>
      <c r="B77" s="5"/>
      <c r="D77" s="9"/>
      <c r="N77" s="1"/>
      <c r="O77" s="9"/>
      <c r="P77" s="9"/>
      <c r="Q77" s="9"/>
      <c r="R77" s="9"/>
      <c r="S77" s="9"/>
      <c r="T77" s="77"/>
    </row>
    <row r="78" spans="1:21">
      <c r="A78" s="30" t="s">
        <v>114</v>
      </c>
      <c r="B78" s="31" t="s">
        <v>115</v>
      </c>
      <c r="C78" s="31" t="s">
        <v>116</v>
      </c>
      <c r="D78" s="31" t="s">
        <v>117</v>
      </c>
      <c r="E78" s="31" t="s">
        <v>118</v>
      </c>
      <c r="F78" s="31" t="s">
        <v>119</v>
      </c>
      <c r="G78" s="31" t="s">
        <v>120</v>
      </c>
      <c r="H78" s="31" t="s">
        <v>121</v>
      </c>
      <c r="I78" s="31" t="s">
        <v>122</v>
      </c>
      <c r="J78" s="31" t="s">
        <v>123</v>
      </c>
      <c r="K78" s="31" t="s">
        <v>143</v>
      </c>
      <c r="L78" s="31" t="s">
        <v>125</v>
      </c>
      <c r="M78" s="31" t="s">
        <v>126</v>
      </c>
      <c r="N78" s="31" t="s">
        <v>116</v>
      </c>
      <c r="O78" s="31" t="s">
        <v>117</v>
      </c>
      <c r="P78" s="31" t="s">
        <v>118</v>
      </c>
      <c r="Q78" s="31" t="s">
        <v>119</v>
      </c>
      <c r="R78" s="31" t="s">
        <v>120</v>
      </c>
      <c r="S78" s="31" t="s">
        <v>121</v>
      </c>
      <c r="T78" s="31" t="s">
        <v>122</v>
      </c>
      <c r="U78" s="70" t="s">
        <v>127</v>
      </c>
    </row>
    <row r="79" spans="1:21">
      <c r="A79" s="33" t="s">
        <v>33</v>
      </c>
      <c r="B79" s="34">
        <v>1</v>
      </c>
      <c r="C79" s="34">
        <v>32790</v>
      </c>
      <c r="D79" s="34">
        <v>32790</v>
      </c>
      <c r="E79" s="34">
        <v>32790</v>
      </c>
      <c r="F79" s="34">
        <v>32790</v>
      </c>
      <c r="G79" s="34">
        <v>32790</v>
      </c>
      <c r="H79" s="34">
        <v>32790</v>
      </c>
      <c r="I79" s="34">
        <v>32790</v>
      </c>
      <c r="J79" s="35">
        <v>0</v>
      </c>
      <c r="K79" s="36">
        <v>3.0499999999999999E-2</v>
      </c>
      <c r="L79" s="37">
        <v>0.01</v>
      </c>
      <c r="M79" s="34">
        <v>0.01</v>
      </c>
      <c r="N79" s="50" t="str">
        <f>C79&amp;" ("&amp;TEXT(C79/1000,"0.000")&amp;" secs)"</f>
        <v>32790 (32.790 secs)</v>
      </c>
      <c r="O79" s="52" t="str">
        <f>D79&amp;" ("&amp;TEXT(D79/1000,"0.000")&amp;" secs)"</f>
        <v>32790 (32.790 secs)</v>
      </c>
      <c r="P79" s="52" t="str">
        <f t="shared" ref="P79:P83" si="48">E79&amp;" ("&amp;TEXT(E79/1000,"0.000")&amp;" secs)"</f>
        <v>32790 (32.790 secs)</v>
      </c>
      <c r="Q79" s="52" t="str">
        <f t="shared" ref="Q79:Q83" si="49">F79&amp;" ("&amp;TEXT(F79/1000,"0.000")&amp;" secs)"</f>
        <v>32790 (32.790 secs)</v>
      </c>
      <c r="R79" s="52" t="str">
        <f t="shared" ref="R79:R83" si="50">G79&amp;" ("&amp;TEXT(G79/1000,"0.000")&amp;" secs)"</f>
        <v>32790 (32.790 secs)</v>
      </c>
      <c r="S79" s="52" t="str">
        <f t="shared" ref="S79:S83" si="51">H79&amp;" ("&amp;TEXT(H79/1000,"0.000")&amp;" secs)"</f>
        <v>32790 (32.790 secs)</v>
      </c>
      <c r="T79" s="52" t="str">
        <f t="shared" ref="T79:T83" si="52">I79&amp;" ("&amp;TEXT(I79/1000,"0.000")&amp;" secs)"</f>
        <v>32790 (32.790 secs)</v>
      </c>
      <c r="U79" s="71" t="s">
        <v>146</v>
      </c>
    </row>
    <row r="80" spans="1:21">
      <c r="A80" s="33" t="s">
        <v>38</v>
      </c>
      <c r="B80" s="34">
        <v>1</v>
      </c>
      <c r="C80" s="34">
        <v>39</v>
      </c>
      <c r="D80" s="34">
        <v>39</v>
      </c>
      <c r="E80" s="34">
        <v>39</v>
      </c>
      <c r="F80" s="34">
        <v>39</v>
      </c>
      <c r="G80" s="34">
        <v>39</v>
      </c>
      <c r="H80" s="34">
        <v>39</v>
      </c>
      <c r="I80" s="34">
        <v>39</v>
      </c>
      <c r="J80" s="35">
        <v>0</v>
      </c>
      <c r="K80" s="36">
        <v>25.641030000000001</v>
      </c>
      <c r="L80" s="37">
        <v>99.68</v>
      </c>
      <c r="M80" s="34">
        <v>8.59</v>
      </c>
      <c r="N80" s="52" t="str">
        <f t="shared" ref="N80:N83" si="53">C80&amp;" ("&amp;TEXT(C80/1000,"0.000")&amp;" secs)"</f>
        <v>39 (0.039 secs)</v>
      </c>
      <c r="O80" s="52" t="str">
        <f t="shared" ref="O80:O83" si="54">D80&amp;" ("&amp;TEXT(D80/1000,"0.000")&amp;" secs)"</f>
        <v>39 (0.039 secs)</v>
      </c>
      <c r="P80" s="52" t="str">
        <f t="shared" si="48"/>
        <v>39 (0.039 secs)</v>
      </c>
      <c r="Q80" s="52" t="str">
        <f t="shared" si="49"/>
        <v>39 (0.039 secs)</v>
      </c>
      <c r="R80" s="52" t="str">
        <f t="shared" si="50"/>
        <v>39 (0.039 secs)</v>
      </c>
      <c r="S80" s="52" t="str">
        <f t="shared" si="51"/>
        <v>39 (0.039 secs)</v>
      </c>
      <c r="T80" s="52" t="str">
        <f t="shared" si="52"/>
        <v>39 (0.039 secs)</v>
      </c>
      <c r="U80" s="71"/>
    </row>
    <row r="81" spans="1:21">
      <c r="A81" s="33" t="s">
        <v>39</v>
      </c>
      <c r="B81" s="34">
        <v>1</v>
      </c>
      <c r="C81" s="34">
        <v>21</v>
      </c>
      <c r="D81" s="34">
        <v>21</v>
      </c>
      <c r="E81" s="34">
        <v>21</v>
      </c>
      <c r="F81" s="34">
        <v>21</v>
      </c>
      <c r="G81" s="34">
        <v>21</v>
      </c>
      <c r="H81" s="34">
        <v>21</v>
      </c>
      <c r="I81" s="34">
        <v>21</v>
      </c>
      <c r="J81" s="35">
        <v>0</v>
      </c>
      <c r="K81" s="36">
        <v>47.619050000000001</v>
      </c>
      <c r="L81" s="37">
        <v>28.37</v>
      </c>
      <c r="M81" s="34">
        <v>17.899999999999999</v>
      </c>
      <c r="N81" s="52" t="str">
        <f t="shared" si="53"/>
        <v>21 (0.021 secs)</v>
      </c>
      <c r="O81" s="52" t="str">
        <f t="shared" si="54"/>
        <v>21 (0.021 secs)</v>
      </c>
      <c r="P81" s="52" t="str">
        <f t="shared" si="48"/>
        <v>21 (0.021 secs)</v>
      </c>
      <c r="Q81" s="52" t="str">
        <f t="shared" si="49"/>
        <v>21 (0.021 secs)</v>
      </c>
      <c r="R81" s="52" t="str">
        <f t="shared" si="50"/>
        <v>21 (0.021 secs)</v>
      </c>
      <c r="S81" s="52" t="str">
        <f t="shared" si="51"/>
        <v>21 (0.021 secs)</v>
      </c>
      <c r="T81" s="52" t="str">
        <f t="shared" si="52"/>
        <v>21 (0.021 secs)</v>
      </c>
      <c r="U81" s="71"/>
    </row>
    <row r="82" spans="1:21">
      <c r="A82" s="33" t="s">
        <v>40</v>
      </c>
      <c r="B82" s="34">
        <v>1</v>
      </c>
      <c r="C82" s="34">
        <v>19</v>
      </c>
      <c r="D82" s="34">
        <v>19</v>
      </c>
      <c r="E82" s="34">
        <v>19</v>
      </c>
      <c r="F82" s="34">
        <v>19</v>
      </c>
      <c r="G82" s="34">
        <v>19</v>
      </c>
      <c r="H82" s="34">
        <v>19</v>
      </c>
      <c r="I82" s="34">
        <v>19</v>
      </c>
      <c r="J82" s="35">
        <v>0</v>
      </c>
      <c r="K82" s="36">
        <v>52.63158</v>
      </c>
      <c r="L82" s="37">
        <v>11.41</v>
      </c>
      <c r="M82" s="34">
        <v>18.97</v>
      </c>
      <c r="N82" s="52" t="str">
        <f t="shared" si="53"/>
        <v>19 (0.019 secs)</v>
      </c>
      <c r="O82" s="52" t="str">
        <f t="shared" si="54"/>
        <v>19 (0.019 secs)</v>
      </c>
      <c r="P82" s="52" t="str">
        <f t="shared" si="48"/>
        <v>19 (0.019 secs)</v>
      </c>
      <c r="Q82" s="52" t="str">
        <f t="shared" si="49"/>
        <v>19 (0.019 secs)</v>
      </c>
      <c r="R82" s="52" t="str">
        <f t="shared" si="50"/>
        <v>19 (0.019 secs)</v>
      </c>
      <c r="S82" s="52" t="str">
        <f t="shared" si="51"/>
        <v>19 (0.019 secs)</v>
      </c>
      <c r="T82" s="52" t="str">
        <f t="shared" si="52"/>
        <v>19 (0.019 secs)</v>
      </c>
      <c r="U82" s="71"/>
    </row>
    <row r="83" spans="1:21" ht="15" thickBot="1">
      <c r="A83" s="38" t="s">
        <v>128</v>
      </c>
      <c r="B83" s="39">
        <v>4</v>
      </c>
      <c r="C83" s="39">
        <v>8217</v>
      </c>
      <c r="D83" s="39">
        <v>21</v>
      </c>
      <c r="E83" s="39">
        <v>32790</v>
      </c>
      <c r="F83" s="39">
        <v>32790</v>
      </c>
      <c r="G83" s="39">
        <v>32790</v>
      </c>
      <c r="H83" s="39">
        <v>19</v>
      </c>
      <c r="I83" s="39">
        <v>32790</v>
      </c>
      <c r="J83" s="40">
        <v>0</v>
      </c>
      <c r="K83" s="41">
        <v>0.12161</v>
      </c>
      <c r="L83" s="42">
        <v>0.15</v>
      </c>
      <c r="M83" s="39">
        <v>0.05</v>
      </c>
      <c r="N83" s="57" t="str">
        <f t="shared" si="53"/>
        <v>8217 (8.217 secs)</v>
      </c>
      <c r="O83" s="53" t="str">
        <f t="shared" si="54"/>
        <v>21 (0.021 secs)</v>
      </c>
      <c r="P83" s="53" t="str">
        <f t="shared" si="48"/>
        <v>32790 (32.790 secs)</v>
      </c>
      <c r="Q83" s="53" t="str">
        <f t="shared" si="49"/>
        <v>32790 (32.790 secs)</v>
      </c>
      <c r="R83" s="53" t="str">
        <f t="shared" si="50"/>
        <v>32790 (32.790 secs)</v>
      </c>
      <c r="S83" s="53" t="str">
        <f t="shared" si="51"/>
        <v>19 (0.019 secs)</v>
      </c>
      <c r="T83" s="53" t="str">
        <f t="shared" si="52"/>
        <v>32790 (32.790 secs)</v>
      </c>
      <c r="U83" s="72"/>
    </row>
    <row r="85" spans="1:21">
      <c r="A85" s="21" t="s">
        <v>55</v>
      </c>
      <c r="B85" s="22" t="s">
        <v>147</v>
      </c>
      <c r="C85" s="25"/>
      <c r="D85" s="24"/>
      <c r="E85" s="25"/>
      <c r="F85" s="25"/>
      <c r="G85" s="25"/>
      <c r="H85" s="25"/>
      <c r="I85" s="25"/>
      <c r="J85" s="25"/>
      <c r="K85" s="25"/>
      <c r="N85" s="1"/>
      <c r="O85" s="9"/>
      <c r="P85" s="9"/>
      <c r="Q85" s="9"/>
      <c r="R85" s="9"/>
      <c r="S85" s="9"/>
      <c r="T85" s="77"/>
    </row>
    <row r="86" spans="1:21">
      <c r="A86" s="48" t="s">
        <v>13</v>
      </c>
      <c r="B86" s="27" t="s">
        <v>57</v>
      </c>
      <c r="C86" s="24"/>
      <c r="D86" s="24"/>
      <c r="E86" s="25"/>
      <c r="F86" s="25"/>
      <c r="G86" s="25"/>
      <c r="H86" s="25"/>
      <c r="I86" s="25"/>
      <c r="J86" s="25"/>
      <c r="K86" s="25"/>
      <c r="N86" s="1"/>
      <c r="O86" s="9"/>
      <c r="P86" s="9"/>
      <c r="Q86" s="9"/>
      <c r="R86" s="9"/>
      <c r="S86" s="9"/>
      <c r="T86" s="77"/>
    </row>
    <row r="87" spans="1:21">
      <c r="A87" s="49"/>
      <c r="B87" s="5"/>
      <c r="D87" s="9"/>
      <c r="N87" s="1"/>
      <c r="O87" s="9"/>
      <c r="P87" s="9"/>
      <c r="Q87" s="9"/>
      <c r="R87" s="9"/>
      <c r="S87" s="9"/>
      <c r="T87" s="77"/>
    </row>
    <row r="88" spans="1:21">
      <c r="A88" s="30" t="s">
        <v>114</v>
      </c>
      <c r="B88" s="31" t="s">
        <v>115</v>
      </c>
      <c r="C88" s="31" t="s">
        <v>116</v>
      </c>
      <c r="D88" s="31" t="s">
        <v>117</v>
      </c>
      <c r="E88" s="31" t="s">
        <v>118</v>
      </c>
      <c r="F88" s="31" t="s">
        <v>119</v>
      </c>
      <c r="G88" s="31" t="s">
        <v>120</v>
      </c>
      <c r="H88" s="31" t="s">
        <v>121</v>
      </c>
      <c r="I88" s="31" t="s">
        <v>122</v>
      </c>
      <c r="J88" s="31" t="s">
        <v>123</v>
      </c>
      <c r="K88" s="31" t="s">
        <v>143</v>
      </c>
      <c r="L88" s="31" t="s">
        <v>125</v>
      </c>
      <c r="M88" s="31" t="s">
        <v>126</v>
      </c>
      <c r="N88" s="31" t="s">
        <v>116</v>
      </c>
      <c r="O88" s="31" t="s">
        <v>117</v>
      </c>
      <c r="P88" s="31" t="s">
        <v>118</v>
      </c>
      <c r="Q88" s="31" t="s">
        <v>119</v>
      </c>
      <c r="R88" s="31" t="s">
        <v>120</v>
      </c>
      <c r="S88" s="31" t="s">
        <v>121</v>
      </c>
      <c r="T88" s="31" t="s">
        <v>122</v>
      </c>
      <c r="U88" s="70" t="s">
        <v>127</v>
      </c>
    </row>
    <row r="89" spans="1:21">
      <c r="A89" s="33" t="s">
        <v>33</v>
      </c>
      <c r="B89" s="34">
        <v>1</v>
      </c>
      <c r="C89" s="34">
        <v>598960</v>
      </c>
      <c r="D89" s="34">
        <v>598960</v>
      </c>
      <c r="E89" s="34">
        <v>598960</v>
      </c>
      <c r="F89" s="34">
        <v>598960</v>
      </c>
      <c r="G89" s="34">
        <v>598960</v>
      </c>
      <c r="H89" s="34">
        <v>598960</v>
      </c>
      <c r="I89" s="34">
        <v>598960</v>
      </c>
      <c r="J89" s="35">
        <v>0</v>
      </c>
      <c r="K89" s="36">
        <v>1.67E-3</v>
      </c>
      <c r="L89" s="37">
        <v>0</v>
      </c>
      <c r="M89" s="34">
        <v>0</v>
      </c>
      <c r="N89" s="50" t="str">
        <f>C89&amp;" ("&amp;TEXT(C89/60000,"0.000")&amp;" mins)"</f>
        <v>598960 (9.983 mins)</v>
      </c>
      <c r="O89" s="52" t="str">
        <f t="shared" ref="O89:T89" si="55">D89&amp;" ("&amp;TEXT(D89/60000,"0.000")&amp;" mins)"</f>
        <v>598960 (9.983 mins)</v>
      </c>
      <c r="P89" s="52" t="str">
        <f t="shared" si="55"/>
        <v>598960 (9.983 mins)</v>
      </c>
      <c r="Q89" s="52" t="str">
        <f t="shared" si="55"/>
        <v>598960 (9.983 mins)</v>
      </c>
      <c r="R89" s="52" t="str">
        <f t="shared" si="55"/>
        <v>598960 (9.983 mins)</v>
      </c>
      <c r="S89" s="52" t="str">
        <f t="shared" si="55"/>
        <v>598960 (9.983 mins)</v>
      </c>
      <c r="T89" s="52" t="str">
        <f t="shared" si="55"/>
        <v>598960 (9.983 mins)</v>
      </c>
      <c r="U89" s="71" t="s">
        <v>146</v>
      </c>
    </row>
    <row r="90" spans="1:21">
      <c r="A90" s="33" t="s">
        <v>38</v>
      </c>
      <c r="B90" s="34">
        <v>1</v>
      </c>
      <c r="C90" s="34">
        <v>52</v>
      </c>
      <c r="D90" s="34">
        <v>52</v>
      </c>
      <c r="E90" s="34">
        <v>52</v>
      </c>
      <c r="F90" s="34">
        <v>52</v>
      </c>
      <c r="G90" s="34">
        <v>52</v>
      </c>
      <c r="H90" s="34">
        <v>52</v>
      </c>
      <c r="I90" s="34">
        <v>52</v>
      </c>
      <c r="J90" s="35">
        <v>0</v>
      </c>
      <c r="K90" s="36">
        <v>19.23077</v>
      </c>
      <c r="L90" s="37">
        <v>83.01</v>
      </c>
      <c r="M90" s="34">
        <v>6.44</v>
      </c>
      <c r="N90" s="52" t="str">
        <f t="shared" ref="N90:N92" si="56">C90&amp;" ("&amp;TEXT(C90/1000,"0.000")&amp;" secs)"</f>
        <v>52 (0.052 secs)</v>
      </c>
      <c r="O90" s="52" t="str">
        <f t="shared" ref="O90:O93" si="57">D90&amp;" ("&amp;TEXT(D90/1000,"0.000")&amp;" secs)"</f>
        <v>52 (0.052 secs)</v>
      </c>
      <c r="P90" s="52" t="str">
        <f t="shared" ref="P90:P92" si="58">E90&amp;" ("&amp;TEXT(E90/1000,"0.000")&amp;" secs)"</f>
        <v>52 (0.052 secs)</v>
      </c>
      <c r="Q90" s="52" t="str">
        <f t="shared" ref="Q90:Q92" si="59">F90&amp;" ("&amp;TEXT(F90/1000,"0.000")&amp;" secs)"</f>
        <v>52 (0.052 secs)</v>
      </c>
      <c r="R90" s="52" t="str">
        <f t="shared" ref="R90:R92" si="60">G90&amp;" ("&amp;TEXT(G90/1000,"0.000")&amp;" secs)"</f>
        <v>52 (0.052 secs)</v>
      </c>
      <c r="S90" s="52" t="str">
        <f t="shared" ref="S90:S92" si="61">H90&amp;" ("&amp;TEXT(H90/1000,"0.000")&amp;" secs)"</f>
        <v>52 (0.052 secs)</v>
      </c>
      <c r="T90" s="52" t="str">
        <f t="shared" ref="T90:T92" si="62">I90&amp;" ("&amp;TEXT(I90/1000,"0.000")&amp;" secs)"</f>
        <v>52 (0.052 secs)</v>
      </c>
      <c r="U90" s="71"/>
    </row>
    <row r="91" spans="1:21">
      <c r="A91" s="33" t="s">
        <v>39</v>
      </c>
      <c r="B91" s="34">
        <v>1</v>
      </c>
      <c r="C91" s="34">
        <v>25</v>
      </c>
      <c r="D91" s="34">
        <v>25</v>
      </c>
      <c r="E91" s="34">
        <v>25</v>
      </c>
      <c r="F91" s="34">
        <v>25</v>
      </c>
      <c r="G91" s="34">
        <v>25</v>
      </c>
      <c r="H91" s="34">
        <v>25</v>
      </c>
      <c r="I91" s="34">
        <v>25</v>
      </c>
      <c r="J91" s="35">
        <v>0</v>
      </c>
      <c r="K91" s="36">
        <v>40</v>
      </c>
      <c r="L91" s="37">
        <v>8.91</v>
      </c>
      <c r="M91" s="34">
        <v>15.08</v>
      </c>
      <c r="N91" s="52" t="str">
        <f t="shared" si="56"/>
        <v>25 (0.025 secs)</v>
      </c>
      <c r="O91" s="52" t="str">
        <f t="shared" si="57"/>
        <v>25 (0.025 secs)</v>
      </c>
      <c r="P91" s="52" t="str">
        <f t="shared" si="58"/>
        <v>25 (0.025 secs)</v>
      </c>
      <c r="Q91" s="52" t="str">
        <f t="shared" si="59"/>
        <v>25 (0.025 secs)</v>
      </c>
      <c r="R91" s="52" t="str">
        <f t="shared" si="60"/>
        <v>25 (0.025 secs)</v>
      </c>
      <c r="S91" s="52" t="str">
        <f t="shared" si="61"/>
        <v>25 (0.025 secs)</v>
      </c>
      <c r="T91" s="52" t="str">
        <f t="shared" si="62"/>
        <v>25 (0.025 secs)</v>
      </c>
      <c r="U91" s="71"/>
    </row>
    <row r="92" spans="1:21">
      <c r="A92" s="33" t="s">
        <v>40</v>
      </c>
      <c r="B92" s="34">
        <v>1</v>
      </c>
      <c r="C92" s="34">
        <v>25</v>
      </c>
      <c r="D92" s="34">
        <v>25</v>
      </c>
      <c r="E92" s="34">
        <v>25</v>
      </c>
      <c r="F92" s="34">
        <v>25</v>
      </c>
      <c r="G92" s="34">
        <v>25</v>
      </c>
      <c r="H92" s="34">
        <v>25</v>
      </c>
      <c r="I92" s="34">
        <v>25</v>
      </c>
      <c r="J92" s="35">
        <v>0</v>
      </c>
      <c r="K92" s="36">
        <v>40</v>
      </c>
      <c r="L92" s="37">
        <v>21.17</v>
      </c>
      <c r="M92" s="34">
        <v>14.38</v>
      </c>
      <c r="N92" s="52" t="str">
        <f t="shared" si="56"/>
        <v>25 (0.025 secs)</v>
      </c>
      <c r="O92" s="52" t="str">
        <f t="shared" si="57"/>
        <v>25 (0.025 secs)</v>
      </c>
      <c r="P92" s="52" t="str">
        <f t="shared" si="58"/>
        <v>25 (0.025 secs)</v>
      </c>
      <c r="Q92" s="52" t="str">
        <f t="shared" si="59"/>
        <v>25 (0.025 secs)</v>
      </c>
      <c r="R92" s="52" t="str">
        <f t="shared" si="60"/>
        <v>25 (0.025 secs)</v>
      </c>
      <c r="S92" s="52" t="str">
        <f t="shared" si="61"/>
        <v>25 (0.025 secs)</v>
      </c>
      <c r="T92" s="52" t="str">
        <f t="shared" si="62"/>
        <v>25 (0.025 secs)</v>
      </c>
      <c r="U92" s="71"/>
    </row>
    <row r="93" spans="1:21" ht="15" thickBot="1">
      <c r="A93" s="38" t="s">
        <v>128</v>
      </c>
      <c r="B93" s="39">
        <v>4</v>
      </c>
      <c r="C93" s="39">
        <v>149765</v>
      </c>
      <c r="D93" s="39">
        <v>25</v>
      </c>
      <c r="E93" s="39">
        <v>598960</v>
      </c>
      <c r="F93" s="39">
        <v>598960</v>
      </c>
      <c r="G93" s="39">
        <v>598960</v>
      </c>
      <c r="H93" s="39">
        <v>25</v>
      </c>
      <c r="I93" s="39">
        <v>598960</v>
      </c>
      <c r="J93" s="40">
        <v>0</v>
      </c>
      <c r="K93" s="41">
        <v>6.6800000000000002E-3</v>
      </c>
      <c r="L93" s="42">
        <v>0.01</v>
      </c>
      <c r="M93" s="39">
        <v>0</v>
      </c>
      <c r="N93" s="57" t="str">
        <f>C93&amp;" ("&amp;TEXT(C93/60000,"0.000")&amp;" mins)"</f>
        <v>149765 (2.496 mins)</v>
      </c>
      <c r="O93" s="53" t="str">
        <f t="shared" si="57"/>
        <v>25 (0.025 secs)</v>
      </c>
      <c r="P93" s="53" t="str">
        <f>E93&amp;" ("&amp;TEXT(E93/60000,"0.000")&amp;" mins)"</f>
        <v>598960 (9.983 mins)</v>
      </c>
      <c r="Q93" s="53" t="str">
        <f t="shared" ref="Q93:T93" si="63">F93&amp;" ("&amp;TEXT(F93/60000,"0.000")&amp;" mins)"</f>
        <v>598960 (9.983 mins)</v>
      </c>
      <c r="R93" s="53" t="str">
        <f t="shared" si="63"/>
        <v>598960 (9.983 mins)</v>
      </c>
      <c r="S93" s="53" t="str">
        <f t="shared" si="63"/>
        <v>25 (0.000 mins)</v>
      </c>
      <c r="T93" s="53" t="str">
        <f t="shared" si="63"/>
        <v>598960 (9.983 mins)</v>
      </c>
      <c r="U93" s="72"/>
    </row>
    <row r="95" spans="1:21">
      <c r="A95" s="21" t="s">
        <v>58</v>
      </c>
      <c r="B95" s="22" t="s">
        <v>59</v>
      </c>
      <c r="C95" s="25"/>
      <c r="D95" s="24"/>
      <c r="E95" s="25"/>
      <c r="F95" s="25"/>
      <c r="G95" s="25"/>
      <c r="H95" s="25"/>
      <c r="I95" s="25"/>
      <c r="J95" s="25"/>
      <c r="K95" s="25"/>
      <c r="N95" s="1"/>
      <c r="O95" s="9"/>
      <c r="P95" s="9"/>
      <c r="Q95" s="9"/>
      <c r="R95" s="9"/>
      <c r="S95" s="9"/>
      <c r="T95" s="77"/>
    </row>
    <row r="96" spans="1:21">
      <c r="A96" s="48" t="s">
        <v>13</v>
      </c>
      <c r="B96" s="27" t="s">
        <v>60</v>
      </c>
      <c r="C96" s="24"/>
      <c r="D96" s="24"/>
      <c r="E96" s="25"/>
      <c r="F96" s="25"/>
      <c r="G96" s="25"/>
      <c r="H96" s="25"/>
      <c r="I96" s="25"/>
      <c r="J96" s="25"/>
      <c r="K96" s="25"/>
      <c r="N96" s="1"/>
      <c r="O96" s="9"/>
      <c r="P96" s="9"/>
      <c r="Q96" s="9"/>
      <c r="R96" s="9"/>
      <c r="S96" s="9"/>
      <c r="T96" s="77"/>
    </row>
    <row r="97" spans="1:21">
      <c r="A97" s="49"/>
      <c r="B97" s="5"/>
      <c r="D97" s="9"/>
      <c r="N97" s="1"/>
      <c r="O97" s="9"/>
      <c r="P97" s="9"/>
      <c r="Q97" s="9"/>
      <c r="R97" s="9"/>
      <c r="S97" s="9"/>
      <c r="T97" s="77"/>
    </row>
    <row r="98" spans="1:21">
      <c r="A98" s="30" t="s">
        <v>114</v>
      </c>
      <c r="B98" s="31" t="s">
        <v>115</v>
      </c>
      <c r="C98" s="31" t="s">
        <v>116</v>
      </c>
      <c r="D98" s="31" t="s">
        <v>117</v>
      </c>
      <c r="E98" s="31" t="s">
        <v>118</v>
      </c>
      <c r="F98" s="31" t="s">
        <v>119</v>
      </c>
      <c r="G98" s="31" t="s">
        <v>120</v>
      </c>
      <c r="H98" s="31" t="s">
        <v>121</v>
      </c>
      <c r="I98" s="31" t="s">
        <v>122</v>
      </c>
      <c r="J98" s="31" t="s">
        <v>123</v>
      </c>
      <c r="K98" s="31" t="s">
        <v>143</v>
      </c>
      <c r="L98" s="31" t="s">
        <v>125</v>
      </c>
      <c r="M98" s="31" t="s">
        <v>126</v>
      </c>
      <c r="N98" s="31" t="s">
        <v>116</v>
      </c>
      <c r="O98" s="31" t="s">
        <v>117</v>
      </c>
      <c r="P98" s="31" t="s">
        <v>118</v>
      </c>
      <c r="Q98" s="31" t="s">
        <v>119</v>
      </c>
      <c r="R98" s="31" t="s">
        <v>120</v>
      </c>
      <c r="S98" s="31" t="s">
        <v>121</v>
      </c>
      <c r="T98" s="31" t="s">
        <v>122</v>
      </c>
      <c r="U98" s="70" t="s">
        <v>127</v>
      </c>
    </row>
    <row r="99" spans="1:21">
      <c r="A99" s="33" t="s">
        <v>33</v>
      </c>
      <c r="B99" s="34">
        <v>1</v>
      </c>
      <c r="C99" s="34">
        <v>45299</v>
      </c>
      <c r="D99" s="34">
        <v>45299</v>
      </c>
      <c r="E99" s="34">
        <v>45299</v>
      </c>
      <c r="F99" s="34">
        <v>45299</v>
      </c>
      <c r="G99" s="34">
        <v>45299</v>
      </c>
      <c r="H99" s="34">
        <v>45299</v>
      </c>
      <c r="I99" s="34">
        <v>45299</v>
      </c>
      <c r="J99" s="35">
        <v>0</v>
      </c>
      <c r="K99" s="36">
        <v>2.2079999999999999E-2</v>
      </c>
      <c r="L99" s="37">
        <v>0</v>
      </c>
      <c r="M99" s="34">
        <v>0.01</v>
      </c>
      <c r="N99" s="50" t="str">
        <f>C99&amp;" ("&amp;TEXT(C99/1000,"0.000")&amp;" secs)"</f>
        <v>45299 (45.299 secs)</v>
      </c>
      <c r="O99" s="52" t="str">
        <f>D99&amp;" ("&amp;TEXT(D99/1000,"0.000")&amp;" secs)"</f>
        <v>45299 (45.299 secs)</v>
      </c>
      <c r="P99" s="52" t="str">
        <f t="shared" ref="P99:P103" si="64">E99&amp;" ("&amp;TEXT(E99/1000,"0.000")&amp;" secs)"</f>
        <v>45299 (45.299 secs)</v>
      </c>
      <c r="Q99" s="52" t="str">
        <f t="shared" ref="Q99:Q103" si="65">F99&amp;" ("&amp;TEXT(F99/1000,"0.000")&amp;" secs)"</f>
        <v>45299 (45.299 secs)</v>
      </c>
      <c r="R99" s="52" t="str">
        <f t="shared" ref="R99:R103" si="66">G99&amp;" ("&amp;TEXT(G99/1000,"0.000")&amp;" secs)"</f>
        <v>45299 (45.299 secs)</v>
      </c>
      <c r="S99" s="52" t="str">
        <f t="shared" ref="S99:S103" si="67">H99&amp;" ("&amp;TEXT(H99/1000,"0.000")&amp;" secs)"</f>
        <v>45299 (45.299 secs)</v>
      </c>
      <c r="T99" s="52" t="str">
        <f t="shared" ref="T99:T103" si="68">I99&amp;" ("&amp;TEXT(I99/1000,"0.000")&amp;" secs)"</f>
        <v>45299 (45.299 secs)</v>
      </c>
      <c r="U99" s="71" t="s">
        <v>148</v>
      </c>
    </row>
    <row r="100" spans="1:21">
      <c r="A100" s="33" t="s">
        <v>38</v>
      </c>
      <c r="B100" s="34">
        <v>1</v>
      </c>
      <c r="C100" s="34">
        <v>50</v>
      </c>
      <c r="D100" s="34">
        <v>50</v>
      </c>
      <c r="E100" s="34">
        <v>50</v>
      </c>
      <c r="F100" s="34">
        <v>50</v>
      </c>
      <c r="G100" s="34">
        <v>50</v>
      </c>
      <c r="H100" s="34">
        <v>50</v>
      </c>
      <c r="I100" s="34">
        <v>50</v>
      </c>
      <c r="J100" s="35">
        <v>0</v>
      </c>
      <c r="K100" s="36">
        <v>20</v>
      </c>
      <c r="L100" s="37">
        <v>94.84</v>
      </c>
      <c r="M100" s="34">
        <v>6.7</v>
      </c>
      <c r="N100" s="52" t="str">
        <f t="shared" ref="N100:N103" si="69">C100&amp;" ("&amp;TEXT(C100/1000,"0.000")&amp;" secs)"</f>
        <v>50 (0.050 secs)</v>
      </c>
      <c r="O100" s="52" t="str">
        <f t="shared" ref="O100:O103" si="70">D100&amp;" ("&amp;TEXT(D100/1000,"0.000")&amp;" secs)"</f>
        <v>50 (0.050 secs)</v>
      </c>
      <c r="P100" s="52" t="str">
        <f t="shared" si="64"/>
        <v>50 (0.050 secs)</v>
      </c>
      <c r="Q100" s="52" t="str">
        <f t="shared" si="65"/>
        <v>50 (0.050 secs)</v>
      </c>
      <c r="R100" s="52" t="str">
        <f t="shared" si="66"/>
        <v>50 (0.050 secs)</v>
      </c>
      <c r="S100" s="52" t="str">
        <f t="shared" si="67"/>
        <v>50 (0.050 secs)</v>
      </c>
      <c r="T100" s="52" t="str">
        <f t="shared" si="68"/>
        <v>50 (0.050 secs)</v>
      </c>
      <c r="U100" s="71"/>
    </row>
    <row r="101" spans="1:21">
      <c r="A101" s="33" t="s">
        <v>39</v>
      </c>
      <c r="B101" s="34">
        <v>1</v>
      </c>
      <c r="C101" s="34">
        <v>28</v>
      </c>
      <c r="D101" s="34">
        <v>28</v>
      </c>
      <c r="E101" s="34">
        <v>28</v>
      </c>
      <c r="F101" s="34">
        <v>28</v>
      </c>
      <c r="G101" s="34">
        <v>28</v>
      </c>
      <c r="H101" s="34">
        <v>28</v>
      </c>
      <c r="I101" s="34">
        <v>28</v>
      </c>
      <c r="J101" s="35">
        <v>0</v>
      </c>
      <c r="K101" s="36">
        <v>35.714289999999998</v>
      </c>
      <c r="L101" s="37">
        <v>60.06</v>
      </c>
      <c r="M101" s="34">
        <v>13.46</v>
      </c>
      <c r="N101" s="52" t="str">
        <f t="shared" si="69"/>
        <v>28 (0.028 secs)</v>
      </c>
      <c r="O101" s="52" t="str">
        <f t="shared" si="70"/>
        <v>28 (0.028 secs)</v>
      </c>
      <c r="P101" s="52" t="str">
        <f t="shared" si="64"/>
        <v>28 (0.028 secs)</v>
      </c>
      <c r="Q101" s="52" t="str">
        <f t="shared" si="65"/>
        <v>28 (0.028 secs)</v>
      </c>
      <c r="R101" s="52" t="str">
        <f t="shared" si="66"/>
        <v>28 (0.028 secs)</v>
      </c>
      <c r="S101" s="52" t="str">
        <f t="shared" si="67"/>
        <v>28 (0.028 secs)</v>
      </c>
      <c r="T101" s="52" t="str">
        <f t="shared" si="68"/>
        <v>28 (0.028 secs)</v>
      </c>
      <c r="U101" s="71"/>
    </row>
    <row r="102" spans="1:21">
      <c r="A102" s="33" t="s">
        <v>40</v>
      </c>
      <c r="B102" s="34">
        <v>1</v>
      </c>
      <c r="C102" s="34">
        <v>24</v>
      </c>
      <c r="D102" s="34">
        <v>24</v>
      </c>
      <c r="E102" s="34">
        <v>24</v>
      </c>
      <c r="F102" s="34">
        <v>24</v>
      </c>
      <c r="G102" s="34">
        <v>24</v>
      </c>
      <c r="H102" s="34">
        <v>24</v>
      </c>
      <c r="I102" s="34">
        <v>24</v>
      </c>
      <c r="J102" s="35">
        <v>0</v>
      </c>
      <c r="K102" s="36">
        <v>41.666670000000003</v>
      </c>
      <c r="L102" s="37">
        <v>24.01</v>
      </c>
      <c r="M102" s="34">
        <v>15.06</v>
      </c>
      <c r="N102" s="52" t="str">
        <f t="shared" si="69"/>
        <v>24 (0.024 secs)</v>
      </c>
      <c r="O102" s="52" t="str">
        <f t="shared" si="70"/>
        <v>24 (0.024 secs)</v>
      </c>
      <c r="P102" s="52" t="str">
        <f t="shared" si="64"/>
        <v>24 (0.024 secs)</v>
      </c>
      <c r="Q102" s="52" t="str">
        <f t="shared" si="65"/>
        <v>24 (0.024 secs)</v>
      </c>
      <c r="R102" s="52" t="str">
        <f t="shared" si="66"/>
        <v>24 (0.024 secs)</v>
      </c>
      <c r="S102" s="52" t="str">
        <f t="shared" si="67"/>
        <v>24 (0.024 secs)</v>
      </c>
      <c r="T102" s="52" t="str">
        <f t="shared" si="68"/>
        <v>24 (0.024 secs)</v>
      </c>
      <c r="U102" s="71"/>
    </row>
    <row r="103" spans="1:21" ht="15" thickBot="1">
      <c r="A103" s="38" t="s">
        <v>128</v>
      </c>
      <c r="B103" s="39">
        <v>4</v>
      </c>
      <c r="C103" s="39">
        <v>11350</v>
      </c>
      <c r="D103" s="39">
        <v>28</v>
      </c>
      <c r="E103" s="39">
        <v>45299</v>
      </c>
      <c r="F103" s="39">
        <v>45299</v>
      </c>
      <c r="G103" s="39">
        <v>45299</v>
      </c>
      <c r="H103" s="39">
        <v>24</v>
      </c>
      <c r="I103" s="39">
        <v>45299</v>
      </c>
      <c r="J103" s="40">
        <v>0</v>
      </c>
      <c r="K103" s="41">
        <v>8.8059999999999999E-2</v>
      </c>
      <c r="L103" s="42">
        <v>0.16</v>
      </c>
      <c r="M103" s="39">
        <v>0.03</v>
      </c>
      <c r="N103" s="57" t="str">
        <f t="shared" si="69"/>
        <v>11350 (11.350 secs)</v>
      </c>
      <c r="O103" s="53" t="str">
        <f t="shared" si="70"/>
        <v>28 (0.028 secs)</v>
      </c>
      <c r="P103" s="53" t="str">
        <f t="shared" si="64"/>
        <v>45299 (45.299 secs)</v>
      </c>
      <c r="Q103" s="53" t="str">
        <f t="shared" si="65"/>
        <v>45299 (45.299 secs)</v>
      </c>
      <c r="R103" s="53" t="str">
        <f t="shared" si="66"/>
        <v>45299 (45.299 secs)</v>
      </c>
      <c r="S103" s="53" t="str">
        <f t="shared" si="67"/>
        <v>24 (0.024 secs)</v>
      </c>
      <c r="T103" s="53" t="str">
        <f t="shared" si="68"/>
        <v>45299 (45.299 secs)</v>
      </c>
      <c r="U103" s="72"/>
    </row>
    <row r="105" spans="1:21">
      <c r="A105" s="21" t="s">
        <v>61</v>
      </c>
      <c r="B105" s="22" t="s">
        <v>62</v>
      </c>
      <c r="C105" s="25"/>
      <c r="D105" s="24"/>
      <c r="E105" s="25"/>
      <c r="F105" s="25"/>
      <c r="G105" s="25"/>
      <c r="H105" s="25"/>
      <c r="I105" s="25"/>
      <c r="J105" s="25"/>
      <c r="K105" s="25"/>
      <c r="N105" s="1"/>
      <c r="O105" s="9"/>
      <c r="P105" s="9"/>
      <c r="Q105" s="9"/>
      <c r="R105" s="9"/>
      <c r="S105" s="9"/>
      <c r="T105" s="77"/>
    </row>
    <row r="106" spans="1:21">
      <c r="A106" s="48" t="s">
        <v>13</v>
      </c>
      <c r="B106" s="27" t="s">
        <v>63</v>
      </c>
      <c r="C106" s="24"/>
      <c r="D106" s="24"/>
      <c r="E106" s="25"/>
      <c r="F106" s="25"/>
      <c r="G106" s="25"/>
      <c r="H106" s="25"/>
      <c r="I106" s="25"/>
      <c r="J106" s="25"/>
      <c r="K106" s="25"/>
      <c r="N106" s="1"/>
      <c r="O106" s="9"/>
      <c r="P106" s="9"/>
      <c r="Q106" s="9"/>
      <c r="R106" s="9"/>
      <c r="S106" s="9"/>
      <c r="T106" s="77"/>
    </row>
    <row r="107" spans="1:21">
      <c r="A107" s="49"/>
      <c r="B107" s="5"/>
      <c r="D107" s="9"/>
      <c r="N107" s="1"/>
      <c r="O107" s="9"/>
      <c r="P107" s="9"/>
      <c r="Q107" s="9"/>
      <c r="R107" s="9"/>
      <c r="S107" s="9"/>
      <c r="T107" s="77"/>
    </row>
    <row r="108" spans="1:21">
      <c r="A108" s="30" t="s">
        <v>114</v>
      </c>
      <c r="B108" s="31" t="s">
        <v>115</v>
      </c>
      <c r="C108" s="31" t="s">
        <v>116</v>
      </c>
      <c r="D108" s="31" t="s">
        <v>117</v>
      </c>
      <c r="E108" s="31" t="s">
        <v>118</v>
      </c>
      <c r="F108" s="31" t="s">
        <v>119</v>
      </c>
      <c r="G108" s="31" t="s">
        <v>120</v>
      </c>
      <c r="H108" s="31" t="s">
        <v>121</v>
      </c>
      <c r="I108" s="31" t="s">
        <v>122</v>
      </c>
      <c r="J108" s="31" t="s">
        <v>123</v>
      </c>
      <c r="K108" s="31" t="s">
        <v>143</v>
      </c>
      <c r="L108" s="31" t="s">
        <v>125</v>
      </c>
      <c r="M108" s="31" t="s">
        <v>126</v>
      </c>
      <c r="N108" s="31" t="s">
        <v>116</v>
      </c>
      <c r="O108" s="31" t="s">
        <v>117</v>
      </c>
      <c r="P108" s="31" t="s">
        <v>118</v>
      </c>
      <c r="Q108" s="31" t="s">
        <v>119</v>
      </c>
      <c r="R108" s="31" t="s">
        <v>120</v>
      </c>
      <c r="S108" s="31" t="s">
        <v>121</v>
      </c>
      <c r="T108" s="31" t="s">
        <v>122</v>
      </c>
      <c r="U108" s="70" t="s">
        <v>127</v>
      </c>
    </row>
    <row r="109" spans="1:21">
      <c r="A109" s="33" t="s">
        <v>33</v>
      </c>
      <c r="B109" s="34">
        <v>1</v>
      </c>
      <c r="C109" s="34">
        <v>13966</v>
      </c>
      <c r="D109" s="34">
        <v>13966</v>
      </c>
      <c r="E109" s="34">
        <v>13966</v>
      </c>
      <c r="F109" s="34">
        <v>13966</v>
      </c>
      <c r="G109" s="34">
        <v>13966</v>
      </c>
      <c r="H109" s="34">
        <v>13966</v>
      </c>
      <c r="I109" s="34">
        <v>13966</v>
      </c>
      <c r="J109" s="35">
        <v>0</v>
      </c>
      <c r="K109" s="36">
        <v>7.1599999999999997E-2</v>
      </c>
      <c r="L109" s="37">
        <v>0.01</v>
      </c>
      <c r="M109" s="34">
        <v>0.03</v>
      </c>
      <c r="N109" s="52" t="str">
        <f>C109&amp;" ("&amp;TEXT(C109/1000,"0.000")&amp;" secs)"</f>
        <v>13966 (13.966 secs)</v>
      </c>
      <c r="O109" s="52" t="str">
        <f>D109&amp;" ("&amp;TEXT(D109/1000,"0.000")&amp;" secs)"</f>
        <v>13966 (13.966 secs)</v>
      </c>
      <c r="P109" s="52" t="str">
        <f t="shared" ref="P109:P113" si="71">E109&amp;" ("&amp;TEXT(E109/1000,"0.000")&amp;" secs)"</f>
        <v>13966 (13.966 secs)</v>
      </c>
      <c r="Q109" s="52" t="str">
        <f t="shared" ref="Q109:Q113" si="72">F109&amp;" ("&amp;TEXT(F109/1000,"0.000")&amp;" secs)"</f>
        <v>13966 (13.966 secs)</v>
      </c>
      <c r="R109" s="52" t="str">
        <f t="shared" ref="R109:R113" si="73">G109&amp;" ("&amp;TEXT(G109/1000,"0.000")&amp;" secs)"</f>
        <v>13966 (13.966 secs)</v>
      </c>
      <c r="S109" s="52" t="str">
        <f t="shared" ref="S109:S113" si="74">H109&amp;" ("&amp;TEXT(H109/1000,"0.000")&amp;" secs)"</f>
        <v>13966 (13.966 secs)</v>
      </c>
      <c r="T109" s="52" t="str">
        <f t="shared" ref="T109:T113" si="75">I109&amp;" ("&amp;TEXT(I109/1000,"0.000")&amp;" secs)"</f>
        <v>13966 (13.966 secs)</v>
      </c>
      <c r="U109" s="71"/>
    </row>
    <row r="110" spans="1:21">
      <c r="A110" s="33" t="s">
        <v>38</v>
      </c>
      <c r="B110" s="34">
        <v>1</v>
      </c>
      <c r="C110" s="34">
        <v>47</v>
      </c>
      <c r="D110" s="34">
        <v>47</v>
      </c>
      <c r="E110" s="34">
        <v>47</v>
      </c>
      <c r="F110" s="34">
        <v>47</v>
      </c>
      <c r="G110" s="34">
        <v>47</v>
      </c>
      <c r="H110" s="34">
        <v>47</v>
      </c>
      <c r="I110" s="34">
        <v>47</v>
      </c>
      <c r="J110" s="35">
        <v>0</v>
      </c>
      <c r="K110" s="36">
        <v>21.276599999999998</v>
      </c>
      <c r="L110" s="37">
        <v>109.92</v>
      </c>
      <c r="M110" s="34">
        <v>7.13</v>
      </c>
      <c r="N110" s="52" t="str">
        <f t="shared" ref="N110:N113" si="76">C110&amp;" ("&amp;TEXT(C110/1000,"0.000")&amp;" secs)"</f>
        <v>47 (0.047 secs)</v>
      </c>
      <c r="O110" s="52" t="str">
        <f t="shared" ref="O110:O113" si="77">D110&amp;" ("&amp;TEXT(D110/1000,"0.000")&amp;" secs)"</f>
        <v>47 (0.047 secs)</v>
      </c>
      <c r="P110" s="52" t="str">
        <f t="shared" si="71"/>
        <v>47 (0.047 secs)</v>
      </c>
      <c r="Q110" s="52" t="str">
        <f t="shared" si="72"/>
        <v>47 (0.047 secs)</v>
      </c>
      <c r="R110" s="52" t="str">
        <f t="shared" si="73"/>
        <v>47 (0.047 secs)</v>
      </c>
      <c r="S110" s="52" t="str">
        <f t="shared" si="74"/>
        <v>47 (0.047 secs)</v>
      </c>
      <c r="T110" s="52" t="str">
        <f t="shared" si="75"/>
        <v>47 (0.047 secs)</v>
      </c>
      <c r="U110" s="71"/>
    </row>
    <row r="111" spans="1:21">
      <c r="A111" s="33" t="s">
        <v>39</v>
      </c>
      <c r="B111" s="34">
        <v>1</v>
      </c>
      <c r="C111" s="34">
        <v>24</v>
      </c>
      <c r="D111" s="34">
        <v>24</v>
      </c>
      <c r="E111" s="34">
        <v>24</v>
      </c>
      <c r="F111" s="34">
        <v>24</v>
      </c>
      <c r="G111" s="34">
        <v>24</v>
      </c>
      <c r="H111" s="34">
        <v>24</v>
      </c>
      <c r="I111" s="34">
        <v>24</v>
      </c>
      <c r="J111" s="35">
        <v>0</v>
      </c>
      <c r="K111" s="36">
        <v>41.666670000000003</v>
      </c>
      <c r="L111" s="37">
        <v>8.8699999999999992</v>
      </c>
      <c r="M111" s="34">
        <v>15.71</v>
      </c>
      <c r="N111" s="52" t="str">
        <f t="shared" si="76"/>
        <v>24 (0.024 secs)</v>
      </c>
      <c r="O111" s="52" t="str">
        <f t="shared" si="77"/>
        <v>24 (0.024 secs)</v>
      </c>
      <c r="P111" s="52" t="str">
        <f t="shared" si="71"/>
        <v>24 (0.024 secs)</v>
      </c>
      <c r="Q111" s="52" t="str">
        <f t="shared" si="72"/>
        <v>24 (0.024 secs)</v>
      </c>
      <c r="R111" s="52" t="str">
        <f t="shared" si="73"/>
        <v>24 (0.024 secs)</v>
      </c>
      <c r="S111" s="52" t="str">
        <f t="shared" si="74"/>
        <v>24 (0.024 secs)</v>
      </c>
      <c r="T111" s="52" t="str">
        <f t="shared" si="75"/>
        <v>24 (0.024 secs)</v>
      </c>
      <c r="U111" s="71"/>
    </row>
    <row r="112" spans="1:21">
      <c r="A112" s="33" t="s">
        <v>40</v>
      </c>
      <c r="B112" s="34">
        <v>1</v>
      </c>
      <c r="C112" s="34">
        <v>22</v>
      </c>
      <c r="D112" s="34">
        <v>22</v>
      </c>
      <c r="E112" s="34">
        <v>22</v>
      </c>
      <c r="F112" s="34">
        <v>22</v>
      </c>
      <c r="G112" s="34">
        <v>22</v>
      </c>
      <c r="H112" s="34">
        <v>22</v>
      </c>
      <c r="I112" s="34">
        <v>22</v>
      </c>
      <c r="J112" s="35">
        <v>0</v>
      </c>
      <c r="K112" s="36">
        <v>45.454549999999998</v>
      </c>
      <c r="L112" s="37">
        <v>14.43</v>
      </c>
      <c r="M112" s="34">
        <v>16.34</v>
      </c>
      <c r="N112" s="52" t="str">
        <f t="shared" si="76"/>
        <v>22 (0.022 secs)</v>
      </c>
      <c r="O112" s="52" t="str">
        <f t="shared" si="77"/>
        <v>22 (0.022 secs)</v>
      </c>
      <c r="P112" s="52" t="str">
        <f t="shared" si="71"/>
        <v>22 (0.022 secs)</v>
      </c>
      <c r="Q112" s="52" t="str">
        <f t="shared" si="72"/>
        <v>22 (0.022 secs)</v>
      </c>
      <c r="R112" s="52" t="str">
        <f t="shared" si="73"/>
        <v>22 (0.022 secs)</v>
      </c>
      <c r="S112" s="52" t="str">
        <f t="shared" si="74"/>
        <v>22 (0.022 secs)</v>
      </c>
      <c r="T112" s="52" t="str">
        <f t="shared" si="75"/>
        <v>22 (0.022 secs)</v>
      </c>
      <c r="U112" s="71"/>
    </row>
    <row r="113" spans="1:21" ht="15" thickBot="1">
      <c r="A113" s="38" t="s">
        <v>128</v>
      </c>
      <c r="B113" s="39">
        <v>4</v>
      </c>
      <c r="C113" s="39">
        <v>3514</v>
      </c>
      <c r="D113" s="39">
        <v>24</v>
      </c>
      <c r="E113" s="39">
        <v>13966</v>
      </c>
      <c r="F113" s="39">
        <v>13966</v>
      </c>
      <c r="G113" s="39">
        <v>13966</v>
      </c>
      <c r="H113" s="39">
        <v>22</v>
      </c>
      <c r="I113" s="39">
        <v>13966</v>
      </c>
      <c r="J113" s="40">
        <v>0</v>
      </c>
      <c r="K113" s="41">
        <v>0.28394999999999998</v>
      </c>
      <c r="L113" s="42">
        <v>0.42</v>
      </c>
      <c r="M113" s="39">
        <v>0.11</v>
      </c>
      <c r="N113" s="53" t="str">
        <f t="shared" si="76"/>
        <v>3514 (3.514 secs)</v>
      </c>
      <c r="O113" s="53" t="str">
        <f t="shared" si="77"/>
        <v>24 (0.024 secs)</v>
      </c>
      <c r="P113" s="53" t="str">
        <f t="shared" si="71"/>
        <v>13966 (13.966 secs)</v>
      </c>
      <c r="Q113" s="53" t="str">
        <f t="shared" si="72"/>
        <v>13966 (13.966 secs)</v>
      </c>
      <c r="R113" s="53" t="str">
        <f t="shared" si="73"/>
        <v>13966 (13.966 secs)</v>
      </c>
      <c r="S113" s="53" t="str">
        <f t="shared" si="74"/>
        <v>22 (0.022 secs)</v>
      </c>
      <c r="T113" s="53" t="str">
        <f t="shared" si="75"/>
        <v>13966 (13.966 secs)</v>
      </c>
      <c r="U113" s="72"/>
    </row>
    <row r="115" spans="1:21">
      <c r="A115" s="21" t="s">
        <v>64</v>
      </c>
      <c r="B115" s="22" t="s">
        <v>149</v>
      </c>
      <c r="C115" s="25"/>
      <c r="D115" s="24"/>
      <c r="E115" s="25"/>
      <c r="F115" s="25"/>
      <c r="G115" s="25"/>
      <c r="H115" s="25"/>
      <c r="I115" s="25"/>
      <c r="J115" s="25"/>
      <c r="K115" s="25"/>
      <c r="N115" s="1"/>
      <c r="O115" s="9"/>
      <c r="P115" s="9"/>
      <c r="Q115" s="9"/>
      <c r="R115" s="9"/>
      <c r="S115" s="9"/>
      <c r="T115" s="77"/>
    </row>
    <row r="116" spans="1:21">
      <c r="A116" s="48" t="s">
        <v>13</v>
      </c>
      <c r="B116" s="27" t="s">
        <v>66</v>
      </c>
      <c r="C116" s="24"/>
      <c r="D116" s="24"/>
      <c r="E116" s="25"/>
      <c r="F116" s="25"/>
      <c r="G116" s="25"/>
      <c r="H116" s="25"/>
      <c r="I116" s="25"/>
      <c r="J116" s="25"/>
      <c r="K116" s="25"/>
      <c r="N116" s="1"/>
      <c r="O116" s="9"/>
      <c r="P116" s="9"/>
      <c r="Q116" s="9"/>
      <c r="R116" s="9"/>
      <c r="S116" s="9"/>
      <c r="T116" s="77"/>
    </row>
    <row r="117" spans="1:21">
      <c r="A117" s="49"/>
      <c r="B117" s="5"/>
      <c r="D117" s="9"/>
      <c r="N117" s="1"/>
      <c r="O117" s="9"/>
      <c r="P117" s="9"/>
      <c r="Q117" s="9"/>
      <c r="R117" s="9"/>
      <c r="S117" s="9"/>
      <c r="T117" s="77"/>
    </row>
    <row r="118" spans="1:21">
      <c r="A118" s="30" t="s">
        <v>114</v>
      </c>
      <c r="B118" s="31" t="s">
        <v>115</v>
      </c>
      <c r="C118" s="31" t="s">
        <v>116</v>
      </c>
      <c r="D118" s="31" t="s">
        <v>117</v>
      </c>
      <c r="E118" s="31" t="s">
        <v>118</v>
      </c>
      <c r="F118" s="31" t="s">
        <v>119</v>
      </c>
      <c r="G118" s="31" t="s">
        <v>120</v>
      </c>
      <c r="H118" s="31" t="s">
        <v>121</v>
      </c>
      <c r="I118" s="31" t="s">
        <v>122</v>
      </c>
      <c r="J118" s="31" t="s">
        <v>123</v>
      </c>
      <c r="K118" s="31" t="s">
        <v>143</v>
      </c>
      <c r="L118" s="31" t="s">
        <v>125</v>
      </c>
      <c r="M118" s="31" t="s">
        <v>126</v>
      </c>
      <c r="N118" s="31" t="s">
        <v>116</v>
      </c>
      <c r="O118" s="31" t="s">
        <v>117</v>
      </c>
      <c r="P118" s="31" t="s">
        <v>118</v>
      </c>
      <c r="Q118" s="31" t="s">
        <v>119</v>
      </c>
      <c r="R118" s="31" t="s">
        <v>120</v>
      </c>
      <c r="S118" s="31" t="s">
        <v>121</v>
      </c>
      <c r="T118" s="31" t="s">
        <v>122</v>
      </c>
      <c r="U118" s="70" t="s">
        <v>127</v>
      </c>
    </row>
    <row r="119" spans="1:21">
      <c r="A119" s="33" t="s">
        <v>33</v>
      </c>
      <c r="B119" s="34">
        <v>1</v>
      </c>
      <c r="C119" s="34">
        <v>2475421</v>
      </c>
      <c r="D119" s="34">
        <v>2475421</v>
      </c>
      <c r="E119" s="34">
        <v>2475421</v>
      </c>
      <c r="F119" s="34">
        <v>2475421</v>
      </c>
      <c r="G119" s="34">
        <v>2475421</v>
      </c>
      <c r="H119" s="34">
        <v>2475421</v>
      </c>
      <c r="I119" s="34">
        <v>2475421</v>
      </c>
      <c r="J119" s="35">
        <v>0</v>
      </c>
      <c r="K119" s="36">
        <v>4.0000000000000002E-4</v>
      </c>
      <c r="L119" s="37">
        <v>0</v>
      </c>
      <c r="M119" s="34">
        <v>0</v>
      </c>
      <c r="N119" s="50" t="str">
        <f>C119&amp;" ("&amp;TEXT(C119/60000,"0.000")&amp;" mins)"</f>
        <v>2475421 (41.257 mins)</v>
      </c>
      <c r="O119" s="52" t="str">
        <f t="shared" ref="O119:T119" si="78">D119&amp;" ("&amp;TEXT(D119/60000,"0.000")&amp;" mins)"</f>
        <v>2475421 (41.257 mins)</v>
      </c>
      <c r="P119" s="52" t="str">
        <f t="shared" si="78"/>
        <v>2475421 (41.257 mins)</v>
      </c>
      <c r="Q119" s="52" t="str">
        <f t="shared" si="78"/>
        <v>2475421 (41.257 mins)</v>
      </c>
      <c r="R119" s="52" t="str">
        <f t="shared" si="78"/>
        <v>2475421 (41.257 mins)</v>
      </c>
      <c r="S119" s="50" t="str">
        <f t="shared" si="78"/>
        <v>2475421 (41.257 mins)</v>
      </c>
      <c r="T119" s="52" t="str">
        <f t="shared" si="78"/>
        <v>2475421 (41.257 mins)</v>
      </c>
      <c r="U119" s="71" t="s">
        <v>150</v>
      </c>
    </row>
    <row r="120" spans="1:21">
      <c r="A120" s="33" t="s">
        <v>38</v>
      </c>
      <c r="B120" s="34">
        <v>1</v>
      </c>
      <c r="C120" s="34">
        <v>60</v>
      </c>
      <c r="D120" s="34">
        <v>60</v>
      </c>
      <c r="E120" s="34">
        <v>60</v>
      </c>
      <c r="F120" s="34">
        <v>60</v>
      </c>
      <c r="G120" s="34">
        <v>60</v>
      </c>
      <c r="H120" s="34">
        <v>60</v>
      </c>
      <c r="I120" s="34">
        <v>60</v>
      </c>
      <c r="J120" s="35">
        <v>0</v>
      </c>
      <c r="K120" s="36">
        <v>16.66667</v>
      </c>
      <c r="L120" s="37">
        <v>93.68</v>
      </c>
      <c r="M120" s="34">
        <v>5.58</v>
      </c>
      <c r="N120" s="52" t="str">
        <f t="shared" ref="N120:N122" si="79">C120&amp;" ("&amp;TEXT(C120/1000,"0.000")&amp;" secs)"</f>
        <v>60 (0.060 secs)</v>
      </c>
      <c r="O120" s="52" t="str">
        <f t="shared" ref="O120:O123" si="80">D120&amp;" ("&amp;TEXT(D120/1000,"0.000")&amp;" secs)"</f>
        <v>60 (0.060 secs)</v>
      </c>
      <c r="P120" s="52" t="str">
        <f t="shared" ref="P120:P122" si="81">E120&amp;" ("&amp;TEXT(E120/1000,"0.000")&amp;" secs)"</f>
        <v>60 (0.060 secs)</v>
      </c>
      <c r="Q120" s="52" t="str">
        <f t="shared" ref="Q120:Q122" si="82">F120&amp;" ("&amp;TEXT(F120/1000,"0.000")&amp;" secs)"</f>
        <v>60 (0.060 secs)</v>
      </c>
      <c r="R120" s="52" t="str">
        <f t="shared" ref="R120:R122" si="83">G120&amp;" ("&amp;TEXT(G120/1000,"0.000")&amp;" secs)"</f>
        <v>60 (0.060 secs)</v>
      </c>
      <c r="S120" s="52" t="str">
        <f t="shared" ref="S120:S122" si="84">H120&amp;" ("&amp;TEXT(H120/1000,"0.000")&amp;" secs)"</f>
        <v>60 (0.060 secs)</v>
      </c>
      <c r="T120" s="52" t="str">
        <f t="shared" ref="T120:T122" si="85">I120&amp;" ("&amp;TEXT(I120/1000,"0.000")&amp;" secs)"</f>
        <v>60 (0.060 secs)</v>
      </c>
      <c r="U120" s="71"/>
    </row>
    <row r="121" spans="1:21">
      <c r="A121" s="33" t="s">
        <v>39</v>
      </c>
      <c r="B121" s="34">
        <v>1</v>
      </c>
      <c r="C121" s="34">
        <v>173</v>
      </c>
      <c r="D121" s="34">
        <v>173</v>
      </c>
      <c r="E121" s="34">
        <v>173</v>
      </c>
      <c r="F121" s="34">
        <v>173</v>
      </c>
      <c r="G121" s="34">
        <v>173</v>
      </c>
      <c r="H121" s="34">
        <v>173</v>
      </c>
      <c r="I121" s="34">
        <v>173</v>
      </c>
      <c r="J121" s="54">
        <v>1</v>
      </c>
      <c r="K121" s="36">
        <v>5.7803500000000003</v>
      </c>
      <c r="L121" s="37">
        <v>1.07</v>
      </c>
      <c r="M121" s="34">
        <v>2.1800000000000002</v>
      </c>
      <c r="N121" s="52" t="str">
        <f t="shared" si="79"/>
        <v>173 (0.173 secs)</v>
      </c>
      <c r="O121" s="52" t="str">
        <f t="shared" si="80"/>
        <v>173 (0.173 secs)</v>
      </c>
      <c r="P121" s="52" t="str">
        <f t="shared" si="81"/>
        <v>173 (0.173 secs)</v>
      </c>
      <c r="Q121" s="52" t="str">
        <f t="shared" si="82"/>
        <v>173 (0.173 secs)</v>
      </c>
      <c r="R121" s="52" t="str">
        <f t="shared" si="83"/>
        <v>173 (0.173 secs)</v>
      </c>
      <c r="S121" s="52" t="str">
        <f t="shared" si="84"/>
        <v>173 (0.173 secs)</v>
      </c>
      <c r="T121" s="52" t="str">
        <f t="shared" si="85"/>
        <v>173 (0.173 secs)</v>
      </c>
      <c r="U121" s="71" t="s">
        <v>151</v>
      </c>
    </row>
    <row r="122" spans="1:21">
      <c r="A122" s="33" t="s">
        <v>40</v>
      </c>
      <c r="B122" s="34">
        <v>1</v>
      </c>
      <c r="C122" s="34">
        <v>18</v>
      </c>
      <c r="D122" s="34">
        <v>18</v>
      </c>
      <c r="E122" s="34">
        <v>18</v>
      </c>
      <c r="F122" s="34">
        <v>18</v>
      </c>
      <c r="G122" s="34">
        <v>18</v>
      </c>
      <c r="H122" s="34">
        <v>18</v>
      </c>
      <c r="I122" s="34">
        <v>18</v>
      </c>
      <c r="J122" s="35">
        <v>0</v>
      </c>
      <c r="K122" s="36">
        <v>55.55556</v>
      </c>
      <c r="L122" s="37">
        <v>36.68</v>
      </c>
      <c r="M122" s="34">
        <v>20.18</v>
      </c>
      <c r="N122" s="52" t="str">
        <f t="shared" si="79"/>
        <v>18 (0.018 secs)</v>
      </c>
      <c r="O122" s="52" t="str">
        <f t="shared" si="80"/>
        <v>18 (0.018 secs)</v>
      </c>
      <c r="P122" s="52" t="str">
        <f t="shared" si="81"/>
        <v>18 (0.018 secs)</v>
      </c>
      <c r="Q122" s="52" t="str">
        <f t="shared" si="82"/>
        <v>18 (0.018 secs)</v>
      </c>
      <c r="R122" s="52" t="str">
        <f t="shared" si="83"/>
        <v>18 (0.018 secs)</v>
      </c>
      <c r="S122" s="52" t="str">
        <f t="shared" si="84"/>
        <v>18 (0.018 secs)</v>
      </c>
      <c r="T122" s="52" t="str">
        <f t="shared" si="85"/>
        <v>18 (0.018 secs)</v>
      </c>
      <c r="U122" s="71"/>
    </row>
    <row r="123" spans="1:21" ht="15" thickBot="1">
      <c r="A123" s="38" t="s">
        <v>128</v>
      </c>
      <c r="B123" s="39">
        <v>4</v>
      </c>
      <c r="C123" s="39">
        <v>618918</v>
      </c>
      <c r="D123" s="39">
        <v>60</v>
      </c>
      <c r="E123" s="39">
        <v>2475421</v>
      </c>
      <c r="F123" s="39">
        <v>2475421</v>
      </c>
      <c r="G123" s="39">
        <v>2475421</v>
      </c>
      <c r="H123" s="39">
        <v>18</v>
      </c>
      <c r="I123" s="39">
        <v>2475421</v>
      </c>
      <c r="J123" s="56">
        <v>0.25</v>
      </c>
      <c r="K123" s="41">
        <v>1.6199999999999999E-3</v>
      </c>
      <c r="L123" s="42">
        <v>0</v>
      </c>
      <c r="M123" s="39">
        <v>0</v>
      </c>
      <c r="N123" s="57" t="str">
        <f>C123&amp;" ("&amp;TEXT(C123/60000,"0.000")&amp;" mins)"</f>
        <v>618918 (10.315 mins)</v>
      </c>
      <c r="O123" s="53" t="str">
        <f t="shared" si="80"/>
        <v>60 (0.060 secs)</v>
      </c>
      <c r="P123" s="53" t="str">
        <f>E123&amp;" ("&amp;TEXT(E123/60000,"0.000")&amp;" mins)"</f>
        <v>2475421 (41.257 mins)</v>
      </c>
      <c r="Q123" s="53" t="str">
        <f t="shared" ref="Q123:T123" si="86">F123&amp;" ("&amp;TEXT(F123/60000,"0.000")&amp;" mins)"</f>
        <v>2475421 (41.257 mins)</v>
      </c>
      <c r="R123" s="53" t="str">
        <f t="shared" si="86"/>
        <v>2475421 (41.257 mins)</v>
      </c>
      <c r="S123" s="53" t="str">
        <f>H123&amp;" ("&amp;TEXT(H123/1000,"0.000")&amp;" secs)"</f>
        <v>18 (0.018 secs)</v>
      </c>
      <c r="T123" s="53" t="str">
        <f t="shared" si="86"/>
        <v>2475421 (41.257 mins)</v>
      </c>
      <c r="U123" s="72" t="s">
        <v>152</v>
      </c>
    </row>
    <row r="125" spans="1:21">
      <c r="A125" s="21" t="s">
        <v>68</v>
      </c>
      <c r="B125" s="22" t="s">
        <v>153</v>
      </c>
      <c r="C125" s="25"/>
      <c r="D125" s="24"/>
      <c r="E125" s="25"/>
      <c r="F125" s="25"/>
      <c r="G125" s="25"/>
      <c r="H125" s="25"/>
      <c r="I125" s="25"/>
      <c r="J125" s="25"/>
      <c r="K125" s="25"/>
      <c r="N125" s="1"/>
      <c r="O125" s="9"/>
      <c r="P125" s="9"/>
      <c r="Q125" s="9"/>
      <c r="R125" s="9"/>
      <c r="S125" s="9"/>
      <c r="T125" s="77"/>
    </row>
    <row r="126" spans="1:21">
      <c r="A126" s="48" t="s">
        <v>13</v>
      </c>
      <c r="B126" s="27" t="s">
        <v>70</v>
      </c>
      <c r="C126" s="24"/>
      <c r="D126" s="24"/>
      <c r="E126" s="25"/>
      <c r="F126" s="25"/>
      <c r="G126" s="25"/>
      <c r="H126" s="25"/>
      <c r="I126" s="25"/>
      <c r="J126" s="25"/>
      <c r="K126" s="25"/>
      <c r="N126" s="1"/>
      <c r="O126" s="9"/>
      <c r="P126" s="9"/>
      <c r="Q126" s="9"/>
      <c r="R126" s="9"/>
      <c r="S126" s="9"/>
      <c r="T126" s="77"/>
    </row>
    <row r="127" spans="1:21">
      <c r="A127" s="49"/>
      <c r="B127" s="5"/>
      <c r="D127" s="9"/>
      <c r="N127" s="1"/>
      <c r="O127" s="9"/>
      <c r="P127" s="9"/>
      <c r="Q127" s="9"/>
      <c r="R127" s="9"/>
      <c r="S127" s="9"/>
      <c r="T127" s="77"/>
    </row>
    <row r="128" spans="1:21">
      <c r="A128" s="30" t="s">
        <v>114</v>
      </c>
      <c r="B128" s="31" t="s">
        <v>115</v>
      </c>
      <c r="C128" s="31" t="s">
        <v>116</v>
      </c>
      <c r="D128" s="31" t="s">
        <v>117</v>
      </c>
      <c r="E128" s="31" t="s">
        <v>118</v>
      </c>
      <c r="F128" s="31" t="s">
        <v>119</v>
      </c>
      <c r="G128" s="31" t="s">
        <v>120</v>
      </c>
      <c r="H128" s="31" t="s">
        <v>121</v>
      </c>
      <c r="I128" s="31" t="s">
        <v>122</v>
      </c>
      <c r="J128" s="31" t="s">
        <v>123</v>
      </c>
      <c r="K128" s="31" t="s">
        <v>143</v>
      </c>
      <c r="L128" s="31" t="s">
        <v>125</v>
      </c>
      <c r="M128" s="31" t="s">
        <v>126</v>
      </c>
      <c r="N128" s="31" t="s">
        <v>116</v>
      </c>
      <c r="O128" s="31" t="s">
        <v>117</v>
      </c>
      <c r="P128" s="31" t="s">
        <v>118</v>
      </c>
      <c r="Q128" s="31" t="s">
        <v>119</v>
      </c>
      <c r="R128" s="31" t="s">
        <v>120</v>
      </c>
      <c r="S128" s="31" t="s">
        <v>121</v>
      </c>
      <c r="T128" s="31" t="s">
        <v>122</v>
      </c>
      <c r="U128" s="70" t="s">
        <v>127</v>
      </c>
    </row>
    <row r="129" spans="1:21">
      <c r="A129" s="33" t="s">
        <v>33</v>
      </c>
      <c r="B129" s="34">
        <v>1</v>
      </c>
      <c r="C129" s="34">
        <v>78</v>
      </c>
      <c r="D129" s="34">
        <v>78</v>
      </c>
      <c r="E129" s="34">
        <v>78</v>
      </c>
      <c r="F129" s="34">
        <v>78</v>
      </c>
      <c r="G129" s="34">
        <v>78</v>
      </c>
      <c r="H129" s="34">
        <v>78</v>
      </c>
      <c r="I129" s="34">
        <v>78</v>
      </c>
      <c r="J129" s="35">
        <v>0</v>
      </c>
      <c r="K129" s="36">
        <v>12.820510000000001</v>
      </c>
      <c r="L129" s="37">
        <v>3.68</v>
      </c>
      <c r="M129" s="34">
        <v>5.76</v>
      </c>
      <c r="N129" s="52" t="str">
        <f>C129&amp;" ("&amp;TEXT(C129/1000,"0.000")&amp;" secs)"</f>
        <v>78 (0.078 secs)</v>
      </c>
      <c r="O129" s="52" t="str">
        <f>D129&amp;" ("&amp;TEXT(D129/1000,"0.000")&amp;" secs)"</f>
        <v>78 (0.078 secs)</v>
      </c>
      <c r="P129" s="52" t="str">
        <f t="shared" ref="P129:P133" si="87">E129&amp;" ("&amp;TEXT(E129/1000,"0.000")&amp;" secs)"</f>
        <v>78 (0.078 secs)</v>
      </c>
      <c r="Q129" s="52" t="str">
        <f t="shared" ref="Q129:Q133" si="88">F129&amp;" ("&amp;TEXT(F129/1000,"0.000")&amp;" secs)"</f>
        <v>78 (0.078 secs)</v>
      </c>
      <c r="R129" s="52" t="str">
        <f t="shared" ref="R129:R133" si="89">G129&amp;" ("&amp;TEXT(G129/1000,"0.000")&amp;" secs)"</f>
        <v>78 (0.078 secs)</v>
      </c>
      <c r="S129" s="52" t="str">
        <f t="shared" ref="S129:S133" si="90">H129&amp;" ("&amp;TEXT(H129/1000,"0.000")&amp;" secs)"</f>
        <v>78 (0.078 secs)</v>
      </c>
      <c r="T129" s="52" t="str">
        <f t="shared" ref="T129:T133" si="91">I129&amp;" ("&amp;TEXT(I129/1000,"0.000")&amp;" secs)"</f>
        <v>78 (0.078 secs)</v>
      </c>
      <c r="U129" s="80" t="s">
        <v>154</v>
      </c>
    </row>
    <row r="130" spans="1:21">
      <c r="A130" s="33" t="s">
        <v>38</v>
      </c>
      <c r="B130" s="34">
        <v>1</v>
      </c>
      <c r="C130" s="34">
        <v>46</v>
      </c>
      <c r="D130" s="34">
        <v>46</v>
      </c>
      <c r="E130" s="34">
        <v>46</v>
      </c>
      <c r="F130" s="34">
        <v>46</v>
      </c>
      <c r="G130" s="34">
        <v>46</v>
      </c>
      <c r="H130" s="34">
        <v>46</v>
      </c>
      <c r="I130" s="34">
        <v>46</v>
      </c>
      <c r="J130" s="35">
        <v>0</v>
      </c>
      <c r="K130" s="36">
        <v>21.739129999999999</v>
      </c>
      <c r="L130" s="37">
        <v>122.2</v>
      </c>
      <c r="M130" s="34">
        <v>7.28</v>
      </c>
      <c r="N130" s="52" t="str">
        <f t="shared" ref="N130:N133" si="92">C130&amp;" ("&amp;TEXT(C130/1000,"0.000")&amp;" secs)"</f>
        <v>46 (0.046 secs)</v>
      </c>
      <c r="O130" s="52" t="str">
        <f t="shared" ref="O130:O133" si="93">D130&amp;" ("&amp;TEXT(D130/1000,"0.000")&amp;" secs)"</f>
        <v>46 (0.046 secs)</v>
      </c>
      <c r="P130" s="52" t="str">
        <f t="shared" si="87"/>
        <v>46 (0.046 secs)</v>
      </c>
      <c r="Q130" s="52" t="str">
        <f t="shared" si="88"/>
        <v>46 (0.046 secs)</v>
      </c>
      <c r="R130" s="52" t="str">
        <f t="shared" si="89"/>
        <v>46 (0.046 secs)</v>
      </c>
      <c r="S130" s="52" t="str">
        <f t="shared" si="90"/>
        <v>46 (0.046 secs)</v>
      </c>
      <c r="T130" s="52" t="str">
        <f t="shared" si="91"/>
        <v>46 (0.046 secs)</v>
      </c>
      <c r="U130" s="71"/>
    </row>
    <row r="131" spans="1:21">
      <c r="A131" s="33" t="s">
        <v>39</v>
      </c>
      <c r="B131" s="34">
        <v>1</v>
      </c>
      <c r="C131" s="34">
        <v>3892</v>
      </c>
      <c r="D131" s="34">
        <v>3892</v>
      </c>
      <c r="E131" s="34">
        <v>3892</v>
      </c>
      <c r="F131" s="34">
        <v>3892</v>
      </c>
      <c r="G131" s="34">
        <v>3892</v>
      </c>
      <c r="H131" s="34">
        <v>3892</v>
      </c>
      <c r="I131" s="34">
        <v>3892</v>
      </c>
      <c r="J131" s="69">
        <v>1</v>
      </c>
      <c r="K131" s="36">
        <v>0.25694</v>
      </c>
      <c r="L131" s="37">
        <v>0.68</v>
      </c>
      <c r="M131" s="34">
        <v>0</v>
      </c>
      <c r="N131" s="52" t="str">
        <f t="shared" si="92"/>
        <v>3892 (3.892 secs)</v>
      </c>
      <c r="O131" s="52" t="str">
        <f t="shared" si="93"/>
        <v>3892 (3.892 secs)</v>
      </c>
      <c r="P131" s="52" t="str">
        <f t="shared" si="87"/>
        <v>3892 (3.892 secs)</v>
      </c>
      <c r="Q131" s="52" t="str">
        <f t="shared" si="88"/>
        <v>3892 (3.892 secs)</v>
      </c>
      <c r="R131" s="52" t="str">
        <f t="shared" si="89"/>
        <v>3892 (3.892 secs)</v>
      </c>
      <c r="S131" s="52" t="str">
        <f t="shared" si="90"/>
        <v>3892 (3.892 secs)</v>
      </c>
      <c r="T131" s="52" t="str">
        <f t="shared" si="91"/>
        <v>3892 (3.892 secs)</v>
      </c>
      <c r="U131" s="71"/>
    </row>
    <row r="132" spans="1:21">
      <c r="A132" s="33" t="s">
        <v>40</v>
      </c>
      <c r="B132" s="34">
        <v>1</v>
      </c>
      <c r="C132" s="34">
        <v>1</v>
      </c>
      <c r="D132" s="34">
        <v>1</v>
      </c>
      <c r="E132" s="34">
        <v>1</v>
      </c>
      <c r="F132" s="34">
        <v>1</v>
      </c>
      <c r="G132" s="34">
        <v>1</v>
      </c>
      <c r="H132" s="34">
        <v>1</v>
      </c>
      <c r="I132" s="34">
        <v>1</v>
      </c>
      <c r="J132" s="69">
        <v>1</v>
      </c>
      <c r="K132" s="36">
        <v>1000</v>
      </c>
      <c r="L132" s="37">
        <v>2569.34</v>
      </c>
      <c r="M132" s="34">
        <v>0</v>
      </c>
      <c r="N132" s="52" t="str">
        <f t="shared" si="92"/>
        <v>1 (0.001 secs)</v>
      </c>
      <c r="O132" s="52" t="str">
        <f t="shared" si="93"/>
        <v>1 (0.001 secs)</v>
      </c>
      <c r="P132" s="52" t="str">
        <f t="shared" si="87"/>
        <v>1 (0.001 secs)</v>
      </c>
      <c r="Q132" s="52" t="str">
        <f t="shared" si="88"/>
        <v>1 (0.001 secs)</v>
      </c>
      <c r="R132" s="52" t="str">
        <f t="shared" si="89"/>
        <v>1 (0.001 secs)</v>
      </c>
      <c r="S132" s="52" t="str">
        <f t="shared" si="90"/>
        <v>1 (0.001 secs)</v>
      </c>
      <c r="T132" s="52" t="str">
        <f t="shared" si="91"/>
        <v>1 (0.001 secs)</v>
      </c>
      <c r="U132" s="71"/>
    </row>
    <row r="133" spans="1:21" ht="15" thickBot="1">
      <c r="A133" s="38" t="s">
        <v>128</v>
      </c>
      <c r="B133" s="39">
        <v>4</v>
      </c>
      <c r="C133" s="39">
        <v>1004</v>
      </c>
      <c r="D133" s="39">
        <v>46</v>
      </c>
      <c r="E133" s="39">
        <v>3892</v>
      </c>
      <c r="F133" s="39">
        <v>3892</v>
      </c>
      <c r="G133" s="39">
        <v>3892</v>
      </c>
      <c r="H133" s="39">
        <v>1</v>
      </c>
      <c r="I133" s="39">
        <v>3892</v>
      </c>
      <c r="J133" s="79">
        <v>0.5</v>
      </c>
      <c r="K133" s="41">
        <v>0.98960999999999999</v>
      </c>
      <c r="L133" s="42">
        <v>2.75</v>
      </c>
      <c r="M133" s="39">
        <v>0.19</v>
      </c>
      <c r="N133" s="53" t="str">
        <f t="shared" si="92"/>
        <v>1004 (1.004 secs)</v>
      </c>
      <c r="O133" s="53" t="str">
        <f t="shared" si="93"/>
        <v>46 (0.046 secs)</v>
      </c>
      <c r="P133" s="53" t="str">
        <f t="shared" si="87"/>
        <v>3892 (3.892 secs)</v>
      </c>
      <c r="Q133" s="53" t="str">
        <f t="shared" si="88"/>
        <v>3892 (3.892 secs)</v>
      </c>
      <c r="R133" s="53" t="str">
        <f t="shared" si="89"/>
        <v>3892 (3.892 secs)</v>
      </c>
      <c r="S133" s="53" t="str">
        <f t="shared" si="90"/>
        <v>1 (0.001 secs)</v>
      </c>
      <c r="T133" s="53" t="str">
        <f t="shared" si="91"/>
        <v>3892 (3.892 secs)</v>
      </c>
      <c r="U133" s="72"/>
    </row>
    <row r="135" spans="1:21">
      <c r="A135" s="21" t="s">
        <v>76</v>
      </c>
      <c r="B135" s="22" t="s">
        <v>155</v>
      </c>
      <c r="C135" s="25"/>
      <c r="D135" s="24"/>
      <c r="E135" s="25"/>
      <c r="F135" s="25"/>
      <c r="G135" s="25"/>
      <c r="H135" s="25"/>
      <c r="I135" s="25"/>
      <c r="J135" s="25"/>
      <c r="K135" s="25"/>
      <c r="N135" s="1"/>
      <c r="O135" s="9"/>
      <c r="P135" s="9"/>
      <c r="Q135" s="9"/>
      <c r="R135" s="9"/>
      <c r="S135" s="9"/>
      <c r="T135" s="77"/>
    </row>
    <row r="136" spans="1:21">
      <c r="A136" s="48" t="s">
        <v>13</v>
      </c>
      <c r="B136" s="27" t="s">
        <v>78</v>
      </c>
      <c r="C136" s="24"/>
      <c r="D136" s="24"/>
      <c r="E136" s="25"/>
      <c r="F136" s="25"/>
      <c r="G136" s="25"/>
      <c r="H136" s="25"/>
      <c r="I136" s="25"/>
      <c r="J136" s="25"/>
      <c r="K136" s="25"/>
      <c r="N136" s="1"/>
      <c r="O136" s="9"/>
      <c r="P136" s="9"/>
      <c r="Q136" s="9"/>
      <c r="R136" s="9"/>
      <c r="S136" s="9"/>
      <c r="T136" s="77"/>
    </row>
    <row r="137" spans="1:21">
      <c r="A137" s="49"/>
      <c r="B137" s="5"/>
      <c r="D137" s="9"/>
      <c r="N137" s="1"/>
      <c r="O137" s="9"/>
      <c r="P137" s="9"/>
      <c r="Q137" s="9"/>
      <c r="R137" s="9"/>
      <c r="S137" s="9"/>
      <c r="T137" s="77"/>
    </row>
    <row r="138" spans="1:21">
      <c r="A138" s="30" t="s">
        <v>114</v>
      </c>
      <c r="B138" s="31" t="s">
        <v>115</v>
      </c>
      <c r="C138" s="31" t="s">
        <v>116</v>
      </c>
      <c r="D138" s="31" t="s">
        <v>117</v>
      </c>
      <c r="E138" s="31" t="s">
        <v>118</v>
      </c>
      <c r="F138" s="31" t="s">
        <v>119</v>
      </c>
      <c r="G138" s="31" t="s">
        <v>120</v>
      </c>
      <c r="H138" s="31" t="s">
        <v>121</v>
      </c>
      <c r="I138" s="31" t="s">
        <v>122</v>
      </c>
      <c r="J138" s="31" t="s">
        <v>123</v>
      </c>
      <c r="K138" s="31" t="s">
        <v>143</v>
      </c>
      <c r="L138" s="31" t="s">
        <v>125</v>
      </c>
      <c r="M138" s="31" t="s">
        <v>126</v>
      </c>
      <c r="N138" s="31" t="s">
        <v>116</v>
      </c>
      <c r="O138" s="31" t="s">
        <v>117</v>
      </c>
      <c r="P138" s="31" t="s">
        <v>118</v>
      </c>
      <c r="Q138" s="31" t="s">
        <v>119</v>
      </c>
      <c r="R138" s="31" t="s">
        <v>120</v>
      </c>
      <c r="S138" s="31" t="s">
        <v>121</v>
      </c>
      <c r="T138" s="31" t="s">
        <v>122</v>
      </c>
      <c r="U138" s="70" t="s">
        <v>127</v>
      </c>
    </row>
    <row r="139" spans="1:21">
      <c r="A139" s="33" t="s">
        <v>33</v>
      </c>
      <c r="B139" s="34">
        <v>1</v>
      </c>
      <c r="C139" s="34">
        <v>863</v>
      </c>
      <c r="D139" s="34">
        <v>863</v>
      </c>
      <c r="E139" s="34">
        <v>863</v>
      </c>
      <c r="F139" s="34">
        <v>863</v>
      </c>
      <c r="G139" s="34">
        <v>863</v>
      </c>
      <c r="H139" s="34">
        <v>863</v>
      </c>
      <c r="I139" s="34">
        <v>863</v>
      </c>
      <c r="J139" s="35">
        <v>0</v>
      </c>
      <c r="K139" s="36">
        <v>1.1587499999999999</v>
      </c>
      <c r="L139" s="37">
        <v>0.33</v>
      </c>
      <c r="M139" s="34">
        <v>0.52</v>
      </c>
      <c r="N139" s="52" t="str">
        <f>C139&amp;" ("&amp;TEXT(C139/1000,"0.000")&amp;" secs)"</f>
        <v>863 (0.863 secs)</v>
      </c>
      <c r="O139" s="52" t="str">
        <f>D139&amp;" ("&amp;TEXT(D139/1000,"0.000")&amp;" secs)"</f>
        <v>863 (0.863 secs)</v>
      </c>
      <c r="P139" s="52" t="str">
        <f t="shared" ref="P139:P143" si="94">E139&amp;" ("&amp;TEXT(E139/1000,"0.000")&amp;" secs)"</f>
        <v>863 (0.863 secs)</v>
      </c>
      <c r="Q139" s="52" t="str">
        <f t="shared" ref="Q139:Q143" si="95">F139&amp;" ("&amp;TEXT(F139/1000,"0.000")&amp;" secs)"</f>
        <v>863 (0.863 secs)</v>
      </c>
      <c r="R139" s="52" t="str">
        <f t="shared" ref="R139:R143" si="96">G139&amp;" ("&amp;TEXT(G139/1000,"0.000")&amp;" secs)"</f>
        <v>863 (0.863 secs)</v>
      </c>
      <c r="S139" s="52" t="str">
        <f t="shared" ref="S139:S143" si="97">H139&amp;" ("&amp;TEXT(H139/1000,"0.000")&amp;" secs)"</f>
        <v>863 (0.863 secs)</v>
      </c>
      <c r="T139" s="52" t="str">
        <f t="shared" ref="T139:T143" si="98">I139&amp;" ("&amp;TEXT(I139/1000,"0.000")&amp;" secs)"</f>
        <v>863 (0.863 secs)</v>
      </c>
      <c r="U139" s="80" t="s">
        <v>154</v>
      </c>
    </row>
    <row r="140" spans="1:21">
      <c r="A140" s="33" t="s">
        <v>38</v>
      </c>
      <c r="B140" s="34">
        <v>1</v>
      </c>
      <c r="C140" s="34">
        <v>1121</v>
      </c>
      <c r="D140" s="34">
        <v>1121</v>
      </c>
      <c r="E140" s="34">
        <v>1121</v>
      </c>
      <c r="F140" s="34">
        <v>1121</v>
      </c>
      <c r="G140" s="34">
        <v>1121</v>
      </c>
      <c r="H140" s="34">
        <v>1121</v>
      </c>
      <c r="I140" s="34">
        <v>1121</v>
      </c>
      <c r="J140" s="35">
        <v>0</v>
      </c>
      <c r="K140" s="36">
        <v>0.89205999999999996</v>
      </c>
      <c r="L140" s="37">
        <v>5.01</v>
      </c>
      <c r="M140" s="34">
        <v>0.3</v>
      </c>
      <c r="N140" s="52" t="str">
        <f t="shared" ref="N140:N143" si="99">C140&amp;" ("&amp;TEXT(C140/1000,"0.000")&amp;" secs)"</f>
        <v>1121 (1.121 secs)</v>
      </c>
      <c r="O140" s="52" t="str">
        <f t="shared" ref="O140:O143" si="100">D140&amp;" ("&amp;TEXT(D140/1000,"0.000")&amp;" secs)"</f>
        <v>1121 (1.121 secs)</v>
      </c>
      <c r="P140" s="52" t="str">
        <f t="shared" si="94"/>
        <v>1121 (1.121 secs)</v>
      </c>
      <c r="Q140" s="52" t="str">
        <f t="shared" si="95"/>
        <v>1121 (1.121 secs)</v>
      </c>
      <c r="R140" s="52" t="str">
        <f t="shared" si="96"/>
        <v>1121 (1.121 secs)</v>
      </c>
      <c r="S140" s="52" t="str">
        <f t="shared" si="97"/>
        <v>1121 (1.121 secs)</v>
      </c>
      <c r="T140" s="52" t="str">
        <f t="shared" si="98"/>
        <v>1121 (1.121 secs)</v>
      </c>
      <c r="U140" s="71"/>
    </row>
    <row r="141" spans="1:21">
      <c r="A141" s="33" t="s">
        <v>39</v>
      </c>
      <c r="B141" s="34">
        <v>1</v>
      </c>
      <c r="C141" s="34">
        <v>3692</v>
      </c>
      <c r="D141" s="34">
        <v>3692</v>
      </c>
      <c r="E141" s="34">
        <v>3692</v>
      </c>
      <c r="F141" s="34">
        <v>3692</v>
      </c>
      <c r="G141" s="34">
        <v>3692</v>
      </c>
      <c r="H141" s="34">
        <v>3692</v>
      </c>
      <c r="I141" s="34">
        <v>3692</v>
      </c>
      <c r="J141" s="69">
        <v>1</v>
      </c>
      <c r="K141" s="36">
        <v>0.27085999999999999</v>
      </c>
      <c r="L141" s="37">
        <v>0.72</v>
      </c>
      <c r="M141" s="34">
        <v>0</v>
      </c>
      <c r="N141" s="52" t="str">
        <f t="shared" si="99"/>
        <v>3692 (3.692 secs)</v>
      </c>
      <c r="O141" s="52" t="str">
        <f t="shared" si="100"/>
        <v>3692 (3.692 secs)</v>
      </c>
      <c r="P141" s="52" t="str">
        <f t="shared" si="94"/>
        <v>3692 (3.692 secs)</v>
      </c>
      <c r="Q141" s="52" t="str">
        <f t="shared" si="95"/>
        <v>3692 (3.692 secs)</v>
      </c>
      <c r="R141" s="52" t="str">
        <f t="shared" si="96"/>
        <v>3692 (3.692 secs)</v>
      </c>
      <c r="S141" s="52" t="str">
        <f t="shared" si="97"/>
        <v>3692 (3.692 secs)</v>
      </c>
      <c r="T141" s="52" t="str">
        <f t="shared" si="98"/>
        <v>3692 (3.692 secs)</v>
      </c>
      <c r="U141" s="71"/>
    </row>
    <row r="142" spans="1:21">
      <c r="A142" s="33" t="s">
        <v>40</v>
      </c>
      <c r="B142" s="34">
        <v>1</v>
      </c>
      <c r="C142" s="34">
        <v>1</v>
      </c>
      <c r="D142" s="34">
        <v>1</v>
      </c>
      <c r="E142" s="34">
        <v>1</v>
      </c>
      <c r="F142" s="34">
        <v>1</v>
      </c>
      <c r="G142" s="34">
        <v>1</v>
      </c>
      <c r="H142" s="34">
        <v>1</v>
      </c>
      <c r="I142" s="34">
        <v>1</v>
      </c>
      <c r="J142" s="69">
        <v>1</v>
      </c>
      <c r="K142" s="36">
        <v>1000</v>
      </c>
      <c r="L142" s="37">
        <v>2569.34</v>
      </c>
      <c r="M142" s="34">
        <v>0</v>
      </c>
      <c r="N142" s="52" t="str">
        <f t="shared" si="99"/>
        <v>1 (0.001 secs)</v>
      </c>
      <c r="O142" s="52" t="str">
        <f t="shared" si="100"/>
        <v>1 (0.001 secs)</v>
      </c>
      <c r="P142" s="52" t="str">
        <f t="shared" si="94"/>
        <v>1 (0.001 secs)</v>
      </c>
      <c r="Q142" s="52" t="str">
        <f t="shared" si="95"/>
        <v>1 (0.001 secs)</v>
      </c>
      <c r="R142" s="52" t="str">
        <f t="shared" si="96"/>
        <v>1 (0.001 secs)</v>
      </c>
      <c r="S142" s="52" t="str">
        <f t="shared" si="97"/>
        <v>1 (0.001 secs)</v>
      </c>
      <c r="T142" s="52" t="str">
        <f t="shared" si="98"/>
        <v>1 (0.001 secs)</v>
      </c>
      <c r="U142" s="71"/>
    </row>
    <row r="143" spans="1:21" ht="15" thickBot="1">
      <c r="A143" s="38" t="s">
        <v>128</v>
      </c>
      <c r="B143" s="39">
        <v>4</v>
      </c>
      <c r="C143" s="39">
        <v>1419</v>
      </c>
      <c r="D143" s="39">
        <v>863</v>
      </c>
      <c r="E143" s="39">
        <v>3692</v>
      </c>
      <c r="F143" s="39">
        <v>3692</v>
      </c>
      <c r="G143" s="39">
        <v>3692</v>
      </c>
      <c r="H143" s="39">
        <v>1</v>
      </c>
      <c r="I143" s="39">
        <v>3692</v>
      </c>
      <c r="J143" s="79">
        <v>0.5</v>
      </c>
      <c r="K143" s="41">
        <v>0.70089000000000001</v>
      </c>
      <c r="L143" s="42">
        <v>1.95</v>
      </c>
      <c r="M143" s="39">
        <v>0.14000000000000001</v>
      </c>
      <c r="N143" s="53" t="str">
        <f t="shared" si="99"/>
        <v>1419 (1.419 secs)</v>
      </c>
      <c r="O143" s="53" t="str">
        <f t="shared" si="100"/>
        <v>863 (0.863 secs)</v>
      </c>
      <c r="P143" s="53" t="str">
        <f t="shared" si="94"/>
        <v>3692 (3.692 secs)</v>
      </c>
      <c r="Q143" s="53" t="str">
        <f t="shared" si="95"/>
        <v>3692 (3.692 secs)</v>
      </c>
      <c r="R143" s="53" t="str">
        <f t="shared" si="96"/>
        <v>3692 (3.692 secs)</v>
      </c>
      <c r="S143" s="53" t="str">
        <f t="shared" si="97"/>
        <v>1 (0.001 secs)</v>
      </c>
      <c r="T143" s="53" t="str">
        <f t="shared" si="98"/>
        <v>3692 (3.692 secs)</v>
      </c>
      <c r="U143" s="72"/>
    </row>
    <row r="145" spans="1:21">
      <c r="A145" s="21" t="s">
        <v>79</v>
      </c>
      <c r="B145" s="22" t="s">
        <v>80</v>
      </c>
      <c r="C145" s="25"/>
      <c r="D145" s="24"/>
      <c r="E145" s="25"/>
      <c r="F145" s="25"/>
      <c r="G145" s="25"/>
      <c r="H145" s="25"/>
      <c r="I145" s="25"/>
      <c r="J145" s="25"/>
      <c r="K145" s="25"/>
      <c r="N145" s="1"/>
      <c r="O145" s="9"/>
      <c r="P145" s="9"/>
      <c r="Q145" s="9"/>
      <c r="R145" s="9"/>
      <c r="S145" s="9"/>
      <c r="T145" s="77"/>
    </row>
    <row r="146" spans="1:21">
      <c r="A146" s="48" t="s">
        <v>13</v>
      </c>
      <c r="B146" s="27" t="s">
        <v>81</v>
      </c>
      <c r="C146" s="24"/>
      <c r="D146" s="24"/>
      <c r="E146" s="25"/>
      <c r="F146" s="25"/>
      <c r="G146" s="25"/>
      <c r="H146" s="25"/>
      <c r="I146" s="25"/>
      <c r="J146" s="25"/>
      <c r="K146" s="25"/>
      <c r="N146" s="1"/>
      <c r="O146" s="9"/>
      <c r="P146" s="9"/>
      <c r="Q146" s="9"/>
      <c r="R146" s="9"/>
      <c r="S146" s="9"/>
      <c r="T146" s="77"/>
    </row>
    <row r="147" spans="1:21">
      <c r="A147" s="49"/>
      <c r="B147" s="5"/>
      <c r="D147" s="9"/>
      <c r="N147" s="1"/>
      <c r="O147" s="9"/>
      <c r="P147" s="9"/>
      <c r="Q147" s="9"/>
      <c r="R147" s="9"/>
      <c r="S147" s="9"/>
      <c r="T147" s="77"/>
    </row>
    <row r="148" spans="1:21">
      <c r="A148" s="30" t="s">
        <v>114</v>
      </c>
      <c r="B148" s="31" t="s">
        <v>115</v>
      </c>
      <c r="C148" s="31" t="s">
        <v>116</v>
      </c>
      <c r="D148" s="31" t="s">
        <v>117</v>
      </c>
      <c r="E148" s="31" t="s">
        <v>118</v>
      </c>
      <c r="F148" s="31" t="s">
        <v>119</v>
      </c>
      <c r="G148" s="31" t="s">
        <v>120</v>
      </c>
      <c r="H148" s="31" t="s">
        <v>121</v>
      </c>
      <c r="I148" s="31" t="s">
        <v>122</v>
      </c>
      <c r="J148" s="31" t="s">
        <v>123</v>
      </c>
      <c r="K148" s="31" t="s">
        <v>143</v>
      </c>
      <c r="L148" s="31" t="s">
        <v>125</v>
      </c>
      <c r="M148" s="31" t="s">
        <v>126</v>
      </c>
      <c r="N148" s="31" t="s">
        <v>116</v>
      </c>
      <c r="O148" s="31" t="s">
        <v>117</v>
      </c>
      <c r="P148" s="31" t="s">
        <v>118</v>
      </c>
      <c r="Q148" s="31" t="s">
        <v>119</v>
      </c>
      <c r="R148" s="31" t="s">
        <v>120</v>
      </c>
      <c r="S148" s="31" t="s">
        <v>121</v>
      </c>
      <c r="T148" s="31" t="s">
        <v>122</v>
      </c>
      <c r="U148" s="70" t="s">
        <v>127</v>
      </c>
    </row>
    <row r="149" spans="1:21">
      <c r="A149" s="33" t="s">
        <v>33</v>
      </c>
      <c r="B149" s="34">
        <v>1</v>
      </c>
      <c r="C149" s="34">
        <v>2797802</v>
      </c>
      <c r="D149" s="34">
        <v>2797802</v>
      </c>
      <c r="E149" s="34">
        <v>2797802</v>
      </c>
      <c r="F149" s="34">
        <v>2797802</v>
      </c>
      <c r="G149" s="34">
        <v>2797802</v>
      </c>
      <c r="H149" s="34">
        <v>2797802</v>
      </c>
      <c r="I149" s="34">
        <v>2797802</v>
      </c>
      <c r="J149" s="35">
        <v>0</v>
      </c>
      <c r="K149" s="36">
        <v>3.6000000000000002E-4</v>
      </c>
      <c r="L149" s="37">
        <v>0</v>
      </c>
      <c r="M149" s="34">
        <v>0</v>
      </c>
      <c r="N149" s="50" t="str">
        <f>C149&amp;" ("&amp;TEXT(C149/60000,"0.000")&amp;" mins)"</f>
        <v>2797802 (46.630 mins)</v>
      </c>
      <c r="O149" s="52" t="str">
        <f t="shared" ref="O149:T149" si="101">D149&amp;" ("&amp;TEXT(D149/60000,"0.000")&amp;" mins)"</f>
        <v>2797802 (46.630 mins)</v>
      </c>
      <c r="P149" s="52" t="str">
        <f t="shared" si="101"/>
        <v>2797802 (46.630 mins)</v>
      </c>
      <c r="Q149" s="52" t="str">
        <f t="shared" si="101"/>
        <v>2797802 (46.630 mins)</v>
      </c>
      <c r="R149" s="52" t="str">
        <f t="shared" si="101"/>
        <v>2797802 (46.630 mins)</v>
      </c>
      <c r="S149" s="52" t="str">
        <f t="shared" si="101"/>
        <v>2797802 (46.630 mins)</v>
      </c>
      <c r="T149" s="52" t="str">
        <f t="shared" si="101"/>
        <v>2797802 (46.630 mins)</v>
      </c>
      <c r="U149" s="71" t="s">
        <v>156</v>
      </c>
    </row>
    <row r="150" spans="1:21">
      <c r="A150" s="33" t="s">
        <v>38</v>
      </c>
      <c r="B150" s="34">
        <v>1</v>
      </c>
      <c r="C150" s="34">
        <v>62</v>
      </c>
      <c r="D150" s="34">
        <v>62</v>
      </c>
      <c r="E150" s="34">
        <v>62</v>
      </c>
      <c r="F150" s="34">
        <v>62</v>
      </c>
      <c r="G150" s="34">
        <v>62</v>
      </c>
      <c r="H150" s="34">
        <v>62</v>
      </c>
      <c r="I150" s="34">
        <v>62</v>
      </c>
      <c r="J150" s="35">
        <v>0</v>
      </c>
      <c r="K150" s="36">
        <v>16.12903</v>
      </c>
      <c r="L150" s="37">
        <v>104.78</v>
      </c>
      <c r="M150" s="34">
        <v>5.4</v>
      </c>
      <c r="N150" s="52" t="str">
        <f t="shared" ref="N150:N152" si="102">C150&amp;" ("&amp;TEXT(C150/1000,"0.000")&amp;" secs)"</f>
        <v>62 (0.062 secs)</v>
      </c>
      <c r="O150" s="52" t="str">
        <f t="shared" ref="O150:O153" si="103">D150&amp;" ("&amp;TEXT(D150/1000,"0.000")&amp;" secs)"</f>
        <v>62 (0.062 secs)</v>
      </c>
      <c r="P150" s="52" t="str">
        <f t="shared" ref="P150:P152" si="104">E150&amp;" ("&amp;TEXT(E150/1000,"0.000")&amp;" secs)"</f>
        <v>62 (0.062 secs)</v>
      </c>
      <c r="Q150" s="52" t="str">
        <f t="shared" ref="Q150:Q152" si="105">F150&amp;" ("&amp;TEXT(F150/1000,"0.000")&amp;" secs)"</f>
        <v>62 (0.062 secs)</v>
      </c>
      <c r="R150" s="52" t="str">
        <f t="shared" ref="R150:R152" si="106">G150&amp;" ("&amp;TEXT(G150/1000,"0.000")&amp;" secs)"</f>
        <v>62 (0.062 secs)</v>
      </c>
      <c r="S150" s="52" t="str">
        <f t="shared" ref="S150:S152" si="107">H150&amp;" ("&amp;TEXT(H150/1000,"0.000")&amp;" secs)"</f>
        <v>62 (0.062 secs)</v>
      </c>
      <c r="T150" s="52" t="str">
        <f t="shared" ref="T150:T152" si="108">I150&amp;" ("&amp;TEXT(I150/1000,"0.000")&amp;" secs)"</f>
        <v>62 (0.062 secs)</v>
      </c>
      <c r="U150" s="71"/>
    </row>
    <row r="151" spans="1:21">
      <c r="A151" s="33" t="s">
        <v>39</v>
      </c>
      <c r="B151" s="34">
        <v>1</v>
      </c>
      <c r="C151" s="34">
        <v>57</v>
      </c>
      <c r="D151" s="34">
        <v>57</v>
      </c>
      <c r="E151" s="34">
        <v>57</v>
      </c>
      <c r="F151" s="34">
        <v>57</v>
      </c>
      <c r="G151" s="34">
        <v>57</v>
      </c>
      <c r="H151" s="34">
        <v>57</v>
      </c>
      <c r="I151" s="34">
        <v>57</v>
      </c>
      <c r="J151" s="35">
        <v>0</v>
      </c>
      <c r="K151" s="36">
        <v>17.543859999999999</v>
      </c>
      <c r="L151" s="37">
        <v>705.34</v>
      </c>
      <c r="M151" s="34">
        <v>6.61</v>
      </c>
      <c r="N151" s="52" t="str">
        <f t="shared" si="102"/>
        <v>57 (0.057 secs)</v>
      </c>
      <c r="O151" s="52" t="str">
        <f t="shared" si="103"/>
        <v>57 (0.057 secs)</v>
      </c>
      <c r="P151" s="52" t="str">
        <f t="shared" si="104"/>
        <v>57 (0.057 secs)</v>
      </c>
      <c r="Q151" s="52" t="str">
        <f t="shared" si="105"/>
        <v>57 (0.057 secs)</v>
      </c>
      <c r="R151" s="52" t="str">
        <f t="shared" si="106"/>
        <v>57 (0.057 secs)</v>
      </c>
      <c r="S151" s="52" t="str">
        <f t="shared" si="107"/>
        <v>57 (0.057 secs)</v>
      </c>
      <c r="T151" s="52" t="str">
        <f t="shared" si="108"/>
        <v>57 (0.057 secs)</v>
      </c>
      <c r="U151" s="71"/>
    </row>
    <row r="152" spans="1:21">
      <c r="A152" s="33" t="s">
        <v>40</v>
      </c>
      <c r="B152" s="34">
        <v>1</v>
      </c>
      <c r="C152" s="34">
        <v>20</v>
      </c>
      <c r="D152" s="34">
        <v>20</v>
      </c>
      <c r="E152" s="34">
        <v>20</v>
      </c>
      <c r="F152" s="34">
        <v>20</v>
      </c>
      <c r="G152" s="34">
        <v>20</v>
      </c>
      <c r="H152" s="34">
        <v>20</v>
      </c>
      <c r="I152" s="34">
        <v>20</v>
      </c>
      <c r="J152" s="35">
        <v>0</v>
      </c>
      <c r="K152" s="36">
        <v>50</v>
      </c>
      <c r="L152" s="37">
        <v>33.01</v>
      </c>
      <c r="M152" s="34">
        <v>18.12</v>
      </c>
      <c r="N152" s="52" t="str">
        <f t="shared" si="102"/>
        <v>20 (0.020 secs)</v>
      </c>
      <c r="O152" s="52" t="str">
        <f t="shared" si="103"/>
        <v>20 (0.020 secs)</v>
      </c>
      <c r="P152" s="52" t="str">
        <f t="shared" si="104"/>
        <v>20 (0.020 secs)</v>
      </c>
      <c r="Q152" s="52" t="str">
        <f t="shared" si="105"/>
        <v>20 (0.020 secs)</v>
      </c>
      <c r="R152" s="52" t="str">
        <f t="shared" si="106"/>
        <v>20 (0.020 secs)</v>
      </c>
      <c r="S152" s="52" t="str">
        <f t="shared" si="107"/>
        <v>20 (0.020 secs)</v>
      </c>
      <c r="T152" s="52" t="str">
        <f t="shared" si="108"/>
        <v>20 (0.020 secs)</v>
      </c>
      <c r="U152" s="71"/>
    </row>
    <row r="153" spans="1:21" ht="15" thickBot="1">
      <c r="A153" s="38" t="s">
        <v>128</v>
      </c>
      <c r="B153" s="39">
        <v>4</v>
      </c>
      <c r="C153" s="39">
        <v>699485</v>
      </c>
      <c r="D153" s="39">
        <v>57</v>
      </c>
      <c r="E153" s="39">
        <v>2797802</v>
      </c>
      <c r="F153" s="39">
        <v>2797802</v>
      </c>
      <c r="G153" s="39">
        <v>2797802</v>
      </c>
      <c r="H153" s="39">
        <v>20</v>
      </c>
      <c r="I153" s="39">
        <v>2797802</v>
      </c>
      <c r="J153" s="40">
        <v>0</v>
      </c>
      <c r="K153" s="41">
        <v>1.4300000000000001E-3</v>
      </c>
      <c r="L153" s="42">
        <v>0.02</v>
      </c>
      <c r="M153" s="39">
        <v>0</v>
      </c>
      <c r="N153" s="57" t="str">
        <f>C153&amp;" ("&amp;TEXT(C153/60000,"0.000")&amp;" mins)"</f>
        <v>699485 (11.658 mins)</v>
      </c>
      <c r="O153" s="53" t="str">
        <f t="shared" si="103"/>
        <v>57 (0.057 secs)</v>
      </c>
      <c r="P153" s="53" t="str">
        <f>E153&amp;" ("&amp;TEXT(E153/60000,"0.000")&amp;" mins)"</f>
        <v>2797802 (46.630 mins)</v>
      </c>
      <c r="Q153" s="53" t="str">
        <f t="shared" ref="Q153:T153" si="109">F153&amp;" ("&amp;TEXT(F153/60000,"0.000")&amp;" mins)"</f>
        <v>2797802 (46.630 mins)</v>
      </c>
      <c r="R153" s="53" t="str">
        <f t="shared" si="109"/>
        <v>2797802 (46.630 mins)</v>
      </c>
      <c r="S153" s="53" t="str">
        <f>H153&amp;" ("&amp;TEXT(H153/1000,"0.000")&amp;" secs)"</f>
        <v>20 (0.020 secs)</v>
      </c>
      <c r="T153" s="53" t="str">
        <f t="shared" si="109"/>
        <v>2797802 (46.630 mins)</v>
      </c>
      <c r="U153" s="72"/>
    </row>
    <row r="155" spans="1:21">
      <c r="A155" s="21" t="s">
        <v>82</v>
      </c>
      <c r="B155" s="22" t="s">
        <v>83</v>
      </c>
      <c r="C155" s="25"/>
      <c r="D155" s="24"/>
      <c r="E155" s="25"/>
      <c r="F155" s="25"/>
      <c r="G155" s="25"/>
      <c r="H155" s="25"/>
      <c r="I155" s="25"/>
      <c r="J155" s="25"/>
      <c r="K155" s="25"/>
      <c r="N155" s="1"/>
      <c r="O155" s="9"/>
      <c r="P155" s="9"/>
      <c r="Q155" s="9"/>
      <c r="R155" s="9"/>
      <c r="S155" s="9"/>
      <c r="T155" s="77"/>
    </row>
    <row r="156" spans="1:21">
      <c r="A156" s="48" t="s">
        <v>13</v>
      </c>
      <c r="B156" s="27" t="s">
        <v>84</v>
      </c>
      <c r="C156" s="24"/>
      <c r="D156" s="24"/>
      <c r="E156" s="25"/>
      <c r="F156" s="25"/>
      <c r="G156" s="25"/>
      <c r="H156" s="25"/>
      <c r="I156" s="25"/>
      <c r="J156" s="25"/>
      <c r="K156" s="25"/>
      <c r="N156" s="1"/>
      <c r="O156" s="9"/>
      <c r="P156" s="9"/>
      <c r="Q156" s="9"/>
      <c r="R156" s="9"/>
      <c r="S156" s="9"/>
      <c r="T156" s="77"/>
    </row>
    <row r="157" spans="1:21">
      <c r="A157" s="49"/>
      <c r="B157" s="5"/>
      <c r="D157" s="9"/>
      <c r="N157" s="1"/>
      <c r="O157" s="9"/>
      <c r="P157" s="9"/>
      <c r="Q157" s="9"/>
      <c r="R157" s="9"/>
      <c r="S157" s="9"/>
      <c r="T157" s="77"/>
    </row>
    <row r="158" spans="1:21">
      <c r="A158" s="30" t="s">
        <v>114</v>
      </c>
      <c r="B158" s="31" t="s">
        <v>115</v>
      </c>
      <c r="C158" s="31" t="s">
        <v>116</v>
      </c>
      <c r="D158" s="31" t="s">
        <v>117</v>
      </c>
      <c r="E158" s="31" t="s">
        <v>118</v>
      </c>
      <c r="F158" s="31" t="s">
        <v>119</v>
      </c>
      <c r="G158" s="31" t="s">
        <v>120</v>
      </c>
      <c r="H158" s="31" t="s">
        <v>121</v>
      </c>
      <c r="I158" s="31" t="s">
        <v>122</v>
      </c>
      <c r="J158" s="31" t="s">
        <v>123</v>
      </c>
      <c r="K158" s="31" t="s">
        <v>143</v>
      </c>
      <c r="L158" s="31" t="s">
        <v>125</v>
      </c>
      <c r="M158" s="31" t="s">
        <v>126</v>
      </c>
      <c r="N158" s="31" t="s">
        <v>116</v>
      </c>
      <c r="O158" s="31" t="s">
        <v>117</v>
      </c>
      <c r="P158" s="31" t="s">
        <v>118</v>
      </c>
      <c r="Q158" s="31" t="s">
        <v>119</v>
      </c>
      <c r="R158" s="31" t="s">
        <v>120</v>
      </c>
      <c r="S158" s="31" t="s">
        <v>121</v>
      </c>
      <c r="T158" s="31" t="s">
        <v>122</v>
      </c>
      <c r="U158" s="70" t="s">
        <v>127</v>
      </c>
    </row>
    <row r="159" spans="1:21">
      <c r="A159" s="33" t="s">
        <v>33</v>
      </c>
      <c r="B159" s="34">
        <v>1</v>
      </c>
      <c r="C159" s="34">
        <v>1959620</v>
      </c>
      <c r="D159" s="34">
        <v>1959620</v>
      </c>
      <c r="E159" s="34">
        <v>1959620</v>
      </c>
      <c r="F159" s="34">
        <v>1959620</v>
      </c>
      <c r="G159" s="34">
        <v>1959620</v>
      </c>
      <c r="H159" s="34">
        <v>1959620</v>
      </c>
      <c r="I159" s="34">
        <v>1959620</v>
      </c>
      <c r="J159" s="35">
        <v>0</v>
      </c>
      <c r="K159" s="36">
        <v>5.1000000000000004E-4</v>
      </c>
      <c r="L159" s="37">
        <v>0</v>
      </c>
      <c r="M159" s="34">
        <v>0</v>
      </c>
      <c r="N159" s="50" t="str">
        <f>C159&amp;" ("&amp;TEXT(C159/60000,"0.000")&amp;" mins)"</f>
        <v>1959620 (32.660 mins)</v>
      </c>
      <c r="O159" s="52" t="str">
        <f t="shared" ref="O159:T159" si="110">D159&amp;" ("&amp;TEXT(D159/60000,"0.000")&amp;" mins)"</f>
        <v>1959620 (32.660 mins)</v>
      </c>
      <c r="P159" s="52" t="str">
        <f t="shared" si="110"/>
        <v>1959620 (32.660 mins)</v>
      </c>
      <c r="Q159" s="52" t="str">
        <f t="shared" si="110"/>
        <v>1959620 (32.660 mins)</v>
      </c>
      <c r="R159" s="52" t="str">
        <f t="shared" si="110"/>
        <v>1959620 (32.660 mins)</v>
      </c>
      <c r="S159" s="52" t="str">
        <f t="shared" si="110"/>
        <v>1959620 (32.660 mins)</v>
      </c>
      <c r="T159" s="52" t="str">
        <f t="shared" si="110"/>
        <v>1959620 (32.660 mins)</v>
      </c>
      <c r="U159" s="71" t="s">
        <v>145</v>
      </c>
    </row>
    <row r="160" spans="1:21">
      <c r="A160" s="33" t="s">
        <v>38</v>
      </c>
      <c r="B160" s="34">
        <v>1</v>
      </c>
      <c r="C160" s="34">
        <v>55</v>
      </c>
      <c r="D160" s="34">
        <v>55</v>
      </c>
      <c r="E160" s="34">
        <v>55</v>
      </c>
      <c r="F160" s="34">
        <v>55</v>
      </c>
      <c r="G160" s="34">
        <v>55</v>
      </c>
      <c r="H160" s="34">
        <v>55</v>
      </c>
      <c r="I160" s="34">
        <v>55</v>
      </c>
      <c r="J160" s="35">
        <v>0</v>
      </c>
      <c r="K160" s="36">
        <v>18.181819999999998</v>
      </c>
      <c r="L160" s="37">
        <v>126.3</v>
      </c>
      <c r="M160" s="34">
        <v>6.09</v>
      </c>
      <c r="N160" s="52" t="str">
        <f t="shared" ref="N160:N162" si="111">C160&amp;" ("&amp;TEXT(C160/1000,"0.000")&amp;" secs)"</f>
        <v>55 (0.055 secs)</v>
      </c>
      <c r="O160" s="52" t="str">
        <f t="shared" ref="O160:O162" si="112">D160&amp;" ("&amp;TEXT(D160/1000,"0.000")&amp;" secs)"</f>
        <v>55 (0.055 secs)</v>
      </c>
      <c r="P160" s="52" t="str">
        <f t="shared" ref="P160:P162" si="113">E160&amp;" ("&amp;TEXT(E160/1000,"0.000")&amp;" secs)"</f>
        <v>55 (0.055 secs)</v>
      </c>
      <c r="Q160" s="52" t="str">
        <f t="shared" ref="Q160:Q162" si="114">F160&amp;" ("&amp;TEXT(F160/1000,"0.000")&amp;" secs)"</f>
        <v>55 (0.055 secs)</v>
      </c>
      <c r="R160" s="52" t="str">
        <f t="shared" ref="R160:R162" si="115">G160&amp;" ("&amp;TEXT(G160/1000,"0.000")&amp;" secs)"</f>
        <v>55 (0.055 secs)</v>
      </c>
      <c r="S160" s="52" t="str">
        <f t="shared" ref="S160:S162" si="116">H160&amp;" ("&amp;TEXT(H160/1000,"0.000")&amp;" secs)"</f>
        <v>55 (0.055 secs)</v>
      </c>
      <c r="T160" s="52" t="str">
        <f t="shared" ref="T160:T162" si="117">I160&amp;" ("&amp;TEXT(I160/1000,"0.000")&amp;" secs)"</f>
        <v>55 (0.055 secs)</v>
      </c>
      <c r="U160" s="71"/>
    </row>
    <row r="161" spans="1:21">
      <c r="A161" s="33" t="s">
        <v>39</v>
      </c>
      <c r="B161" s="34">
        <v>1</v>
      </c>
      <c r="C161" s="34">
        <v>160</v>
      </c>
      <c r="D161" s="34">
        <v>160</v>
      </c>
      <c r="E161" s="34">
        <v>160</v>
      </c>
      <c r="F161" s="34">
        <v>160</v>
      </c>
      <c r="G161" s="34">
        <v>160</v>
      </c>
      <c r="H161" s="34">
        <v>160</v>
      </c>
      <c r="I161" s="34">
        <v>160</v>
      </c>
      <c r="J161" s="35">
        <v>0</v>
      </c>
      <c r="K161" s="36">
        <v>6.25</v>
      </c>
      <c r="L161" s="37">
        <v>770.43</v>
      </c>
      <c r="M161" s="34">
        <v>2.36</v>
      </c>
      <c r="N161" s="52" t="str">
        <f t="shared" si="111"/>
        <v>160 (0.160 secs)</v>
      </c>
      <c r="O161" s="52" t="str">
        <f t="shared" si="112"/>
        <v>160 (0.160 secs)</v>
      </c>
      <c r="P161" s="52" t="str">
        <f t="shared" si="113"/>
        <v>160 (0.160 secs)</v>
      </c>
      <c r="Q161" s="52" t="str">
        <f t="shared" si="114"/>
        <v>160 (0.160 secs)</v>
      </c>
      <c r="R161" s="52" t="str">
        <f t="shared" si="115"/>
        <v>160 (0.160 secs)</v>
      </c>
      <c r="S161" s="52" t="str">
        <f t="shared" si="116"/>
        <v>160 (0.160 secs)</v>
      </c>
      <c r="T161" s="52" t="str">
        <f t="shared" si="117"/>
        <v>160 (0.160 secs)</v>
      </c>
      <c r="U161" s="71"/>
    </row>
    <row r="162" spans="1:21">
      <c r="A162" s="33" t="s">
        <v>40</v>
      </c>
      <c r="B162" s="34">
        <v>1</v>
      </c>
      <c r="C162" s="34">
        <v>22</v>
      </c>
      <c r="D162" s="34">
        <v>22</v>
      </c>
      <c r="E162" s="34">
        <v>22</v>
      </c>
      <c r="F162" s="34">
        <v>22</v>
      </c>
      <c r="G162" s="34">
        <v>22</v>
      </c>
      <c r="H162" s="34">
        <v>22</v>
      </c>
      <c r="I162" s="34">
        <v>22</v>
      </c>
      <c r="J162" s="35">
        <v>0</v>
      </c>
      <c r="K162" s="36">
        <v>45.454549999999998</v>
      </c>
      <c r="L162" s="37">
        <v>30.01</v>
      </c>
      <c r="M162" s="34">
        <v>16.510000000000002</v>
      </c>
      <c r="N162" s="52" t="str">
        <f t="shared" si="111"/>
        <v>22 (0.022 secs)</v>
      </c>
      <c r="O162" s="52" t="str">
        <f t="shared" si="112"/>
        <v>22 (0.022 secs)</v>
      </c>
      <c r="P162" s="52" t="str">
        <f t="shared" si="113"/>
        <v>22 (0.022 secs)</v>
      </c>
      <c r="Q162" s="52" t="str">
        <f t="shared" si="114"/>
        <v>22 (0.022 secs)</v>
      </c>
      <c r="R162" s="52" t="str">
        <f t="shared" si="115"/>
        <v>22 (0.022 secs)</v>
      </c>
      <c r="S162" s="52" t="str">
        <f t="shared" si="116"/>
        <v>22 (0.022 secs)</v>
      </c>
      <c r="T162" s="52" t="str">
        <f t="shared" si="117"/>
        <v>22 (0.022 secs)</v>
      </c>
      <c r="U162" s="71"/>
    </row>
    <row r="163" spans="1:21" ht="15" thickBot="1">
      <c r="A163" s="38" t="s">
        <v>128</v>
      </c>
      <c r="B163" s="39">
        <v>4</v>
      </c>
      <c r="C163" s="39">
        <v>489964</v>
      </c>
      <c r="D163" s="39">
        <v>55</v>
      </c>
      <c r="E163" s="39">
        <v>1959620</v>
      </c>
      <c r="F163" s="39">
        <v>1959620</v>
      </c>
      <c r="G163" s="39">
        <v>1959620</v>
      </c>
      <c r="H163" s="39">
        <v>22</v>
      </c>
      <c r="I163" s="39">
        <v>1959620</v>
      </c>
      <c r="J163" s="40">
        <v>0</v>
      </c>
      <c r="K163" s="41">
        <v>2.0400000000000001E-3</v>
      </c>
      <c r="L163" s="42">
        <v>7.0000000000000007E-2</v>
      </c>
      <c r="M163" s="39">
        <v>0</v>
      </c>
      <c r="N163" s="57" t="str">
        <f>C163&amp;" ("&amp;TEXT(C163/60000,"0.000")&amp;" mins)"</f>
        <v>489964 (8.166 mins)</v>
      </c>
      <c r="O163" s="53" t="str">
        <f t="shared" ref="O163:T163" si="118">D163&amp;" ("&amp;TEXT(D163/60000,"0.000")&amp;" mins)"</f>
        <v>55 (0.001 mins)</v>
      </c>
      <c r="P163" s="53" t="str">
        <f t="shared" si="118"/>
        <v>1959620 (32.660 mins)</v>
      </c>
      <c r="Q163" s="53" t="str">
        <f t="shared" si="118"/>
        <v>1959620 (32.660 mins)</v>
      </c>
      <c r="R163" s="53" t="str">
        <f t="shared" si="118"/>
        <v>1959620 (32.660 mins)</v>
      </c>
      <c r="S163" s="53" t="str">
        <f>H163&amp;" ("&amp;TEXT(H163/1000,"0.000")&amp;" secs)"</f>
        <v>22 (0.022 secs)</v>
      </c>
      <c r="T163" s="53" t="str">
        <f t="shared" si="118"/>
        <v>1959620 (32.660 mins)</v>
      </c>
      <c r="U163" s="72"/>
    </row>
    <row r="165" spans="1:21">
      <c r="A165" s="21" t="s">
        <v>85</v>
      </c>
      <c r="B165" s="22" t="s">
        <v>86</v>
      </c>
      <c r="C165" s="25"/>
      <c r="D165" s="24"/>
      <c r="E165" s="25"/>
      <c r="F165" s="25"/>
      <c r="G165" s="25"/>
      <c r="H165" s="25"/>
      <c r="I165" s="25"/>
      <c r="J165" s="25"/>
      <c r="K165" s="25"/>
      <c r="N165" s="1"/>
      <c r="O165" s="9"/>
      <c r="P165" s="9"/>
      <c r="Q165" s="9"/>
      <c r="R165" s="9"/>
      <c r="S165" s="9"/>
      <c r="T165" s="77"/>
    </row>
    <row r="166" spans="1:21">
      <c r="A166" s="48" t="s">
        <v>13</v>
      </c>
      <c r="B166" s="27" t="s">
        <v>87</v>
      </c>
      <c r="C166" s="24"/>
      <c r="D166" s="24"/>
      <c r="E166" s="25"/>
      <c r="F166" s="25"/>
      <c r="G166" s="25"/>
      <c r="H166" s="25"/>
      <c r="I166" s="25"/>
      <c r="J166" s="25"/>
      <c r="K166" s="25"/>
      <c r="N166" s="1"/>
      <c r="O166" s="9"/>
      <c r="P166" s="9"/>
      <c r="Q166" s="9"/>
      <c r="R166" s="9"/>
      <c r="S166" s="9"/>
      <c r="T166" s="77"/>
    </row>
    <row r="167" spans="1:21">
      <c r="A167" s="49"/>
      <c r="B167" s="5"/>
      <c r="D167" s="9"/>
      <c r="N167" s="1"/>
      <c r="O167" s="9"/>
      <c r="P167" s="9"/>
      <c r="Q167" s="9"/>
      <c r="R167" s="9"/>
      <c r="S167" s="9"/>
      <c r="T167" s="77"/>
    </row>
    <row r="168" spans="1:21">
      <c r="A168" s="30" t="s">
        <v>114</v>
      </c>
      <c r="B168" s="31" t="s">
        <v>115</v>
      </c>
      <c r="C168" s="31" t="s">
        <v>116</v>
      </c>
      <c r="D168" s="31" t="s">
        <v>117</v>
      </c>
      <c r="E168" s="31" t="s">
        <v>118</v>
      </c>
      <c r="F168" s="31" t="s">
        <v>119</v>
      </c>
      <c r="G168" s="31" t="s">
        <v>120</v>
      </c>
      <c r="H168" s="31" t="s">
        <v>121</v>
      </c>
      <c r="I168" s="31" t="s">
        <v>122</v>
      </c>
      <c r="J168" s="31" t="s">
        <v>123</v>
      </c>
      <c r="K168" s="31" t="s">
        <v>143</v>
      </c>
      <c r="L168" s="31" t="s">
        <v>125</v>
      </c>
      <c r="M168" s="31" t="s">
        <v>126</v>
      </c>
      <c r="N168" s="31" t="s">
        <v>116</v>
      </c>
      <c r="O168" s="31" t="s">
        <v>117</v>
      </c>
      <c r="P168" s="31" t="s">
        <v>118</v>
      </c>
      <c r="Q168" s="31" t="s">
        <v>119</v>
      </c>
      <c r="R168" s="31" t="s">
        <v>120</v>
      </c>
      <c r="S168" s="31" t="s">
        <v>121</v>
      </c>
      <c r="T168" s="31" t="s">
        <v>122</v>
      </c>
      <c r="U168" s="70" t="s">
        <v>127</v>
      </c>
    </row>
    <row r="169" spans="1:21">
      <c r="A169" s="33" t="s">
        <v>33</v>
      </c>
      <c r="B169" s="34">
        <v>1</v>
      </c>
      <c r="C169" s="34">
        <v>194409</v>
      </c>
      <c r="D169" s="34">
        <v>194409</v>
      </c>
      <c r="E169" s="34">
        <v>194409</v>
      </c>
      <c r="F169" s="34">
        <v>194409</v>
      </c>
      <c r="G169" s="34">
        <v>194409</v>
      </c>
      <c r="H169" s="34">
        <v>194409</v>
      </c>
      <c r="I169" s="34">
        <v>194409</v>
      </c>
      <c r="J169" s="35">
        <v>0</v>
      </c>
      <c r="K169" s="36">
        <v>5.1399999999999996E-3</v>
      </c>
      <c r="L169" s="37">
        <v>0</v>
      </c>
      <c r="M169" s="34">
        <v>0</v>
      </c>
      <c r="N169" s="50" t="str">
        <f>C169&amp;" ("&amp;TEXT(C169/60000,"0.000")&amp;" mins)"</f>
        <v>194409 (3.240 mins)</v>
      </c>
      <c r="O169" s="52" t="str">
        <f t="shared" ref="O169:T169" si="119">D169&amp;" ("&amp;TEXT(D169/60000,"0.000")&amp;" mins)"</f>
        <v>194409 (3.240 mins)</v>
      </c>
      <c r="P169" s="52" t="str">
        <f t="shared" si="119"/>
        <v>194409 (3.240 mins)</v>
      </c>
      <c r="Q169" s="52" t="str">
        <f t="shared" si="119"/>
        <v>194409 (3.240 mins)</v>
      </c>
      <c r="R169" s="52" t="str">
        <f t="shared" si="119"/>
        <v>194409 (3.240 mins)</v>
      </c>
      <c r="S169" s="52" t="str">
        <f t="shared" si="119"/>
        <v>194409 (3.240 mins)</v>
      </c>
      <c r="T169" s="52" t="str">
        <f t="shared" si="119"/>
        <v>194409 (3.240 mins)</v>
      </c>
      <c r="U169" s="71" t="s">
        <v>157</v>
      </c>
    </row>
    <row r="170" spans="1:21">
      <c r="A170" s="33" t="s">
        <v>38</v>
      </c>
      <c r="B170" s="34">
        <v>1</v>
      </c>
      <c r="C170" s="34">
        <v>63</v>
      </c>
      <c r="D170" s="34">
        <v>63</v>
      </c>
      <c r="E170" s="34">
        <v>63</v>
      </c>
      <c r="F170" s="34">
        <v>63</v>
      </c>
      <c r="G170" s="34">
        <v>63</v>
      </c>
      <c r="H170" s="34">
        <v>63</v>
      </c>
      <c r="I170" s="34">
        <v>63</v>
      </c>
      <c r="J170" s="35">
        <v>0</v>
      </c>
      <c r="K170" s="36">
        <v>15.87302</v>
      </c>
      <c r="L170" s="37">
        <v>117.39</v>
      </c>
      <c r="M170" s="34">
        <v>5.32</v>
      </c>
      <c r="N170" s="52" t="str">
        <f t="shared" ref="N170:N173" si="120">C170&amp;" ("&amp;TEXT(C170/1000,"0.000")&amp;" secs)"</f>
        <v>63 (0.063 secs)</v>
      </c>
      <c r="O170" s="52" t="str">
        <f t="shared" ref="O170:O173" si="121">D170&amp;" ("&amp;TEXT(D170/1000,"0.000")&amp;" secs)"</f>
        <v>63 (0.063 secs)</v>
      </c>
      <c r="P170" s="52" t="str">
        <f t="shared" ref="P170:P173" si="122">E170&amp;" ("&amp;TEXT(E170/1000,"0.000")&amp;" secs)"</f>
        <v>63 (0.063 secs)</v>
      </c>
      <c r="Q170" s="52" t="str">
        <f t="shared" ref="Q170:Q173" si="123">F170&amp;" ("&amp;TEXT(F170/1000,"0.000")&amp;" secs)"</f>
        <v>63 (0.063 secs)</v>
      </c>
      <c r="R170" s="52" t="str">
        <f t="shared" ref="R170:R173" si="124">G170&amp;" ("&amp;TEXT(G170/1000,"0.000")&amp;" secs)"</f>
        <v>63 (0.063 secs)</v>
      </c>
      <c r="S170" s="52" t="str">
        <f t="shared" ref="S170:S173" si="125">H170&amp;" ("&amp;TEXT(H170/1000,"0.000")&amp;" secs)"</f>
        <v>63 (0.063 secs)</v>
      </c>
      <c r="T170" s="52" t="str">
        <f t="shared" ref="T170:T173" si="126">I170&amp;" ("&amp;TEXT(I170/1000,"0.000")&amp;" secs)"</f>
        <v>63 (0.063 secs)</v>
      </c>
      <c r="U170" s="71"/>
    </row>
    <row r="171" spans="1:21">
      <c r="A171" s="33" t="s">
        <v>39</v>
      </c>
      <c r="B171" s="34">
        <v>1</v>
      </c>
      <c r="C171" s="34">
        <v>29</v>
      </c>
      <c r="D171" s="34">
        <v>29</v>
      </c>
      <c r="E171" s="34">
        <v>29</v>
      </c>
      <c r="F171" s="34">
        <v>29</v>
      </c>
      <c r="G171" s="34">
        <v>29</v>
      </c>
      <c r="H171" s="34">
        <v>29</v>
      </c>
      <c r="I171" s="34">
        <v>29</v>
      </c>
      <c r="J171" s="35">
        <v>0</v>
      </c>
      <c r="K171" s="36">
        <v>34.482759999999999</v>
      </c>
      <c r="L171" s="37">
        <v>422.25</v>
      </c>
      <c r="M171" s="34">
        <v>13</v>
      </c>
      <c r="N171" s="52" t="str">
        <f t="shared" si="120"/>
        <v>29 (0.029 secs)</v>
      </c>
      <c r="O171" s="52" t="str">
        <f t="shared" si="121"/>
        <v>29 (0.029 secs)</v>
      </c>
      <c r="P171" s="52" t="str">
        <f t="shared" si="122"/>
        <v>29 (0.029 secs)</v>
      </c>
      <c r="Q171" s="52" t="str">
        <f t="shared" si="123"/>
        <v>29 (0.029 secs)</v>
      </c>
      <c r="R171" s="52" t="str">
        <f t="shared" si="124"/>
        <v>29 (0.029 secs)</v>
      </c>
      <c r="S171" s="52" t="str">
        <f t="shared" si="125"/>
        <v>29 (0.029 secs)</v>
      </c>
      <c r="T171" s="52" t="str">
        <f t="shared" si="126"/>
        <v>29 (0.029 secs)</v>
      </c>
      <c r="U171" s="71"/>
    </row>
    <row r="172" spans="1:21">
      <c r="A172" s="33" t="s">
        <v>40</v>
      </c>
      <c r="B172" s="34">
        <v>1</v>
      </c>
      <c r="C172" s="34">
        <v>19</v>
      </c>
      <c r="D172" s="34">
        <v>19</v>
      </c>
      <c r="E172" s="34">
        <v>19</v>
      </c>
      <c r="F172" s="34">
        <v>19</v>
      </c>
      <c r="G172" s="34">
        <v>19</v>
      </c>
      <c r="H172" s="34">
        <v>19</v>
      </c>
      <c r="I172" s="34">
        <v>19</v>
      </c>
      <c r="J172" s="35">
        <v>0</v>
      </c>
      <c r="K172" s="36">
        <v>52.63158</v>
      </c>
      <c r="L172" s="37">
        <v>34.75</v>
      </c>
      <c r="M172" s="34">
        <v>19.07</v>
      </c>
      <c r="N172" s="52" t="str">
        <f t="shared" si="120"/>
        <v>19 (0.019 secs)</v>
      </c>
      <c r="O172" s="52" t="str">
        <f t="shared" si="121"/>
        <v>19 (0.019 secs)</v>
      </c>
      <c r="P172" s="52" t="str">
        <f t="shared" si="122"/>
        <v>19 (0.019 secs)</v>
      </c>
      <c r="Q172" s="52" t="str">
        <f t="shared" si="123"/>
        <v>19 (0.019 secs)</v>
      </c>
      <c r="R172" s="52" t="str">
        <f t="shared" si="124"/>
        <v>19 (0.019 secs)</v>
      </c>
      <c r="S172" s="52" t="str">
        <f t="shared" si="125"/>
        <v>19 (0.019 secs)</v>
      </c>
      <c r="T172" s="52" t="str">
        <f t="shared" si="126"/>
        <v>19 (0.019 secs)</v>
      </c>
      <c r="U172" s="71"/>
    </row>
    <row r="173" spans="1:21" ht="15" thickBot="1">
      <c r="A173" s="38" t="s">
        <v>128</v>
      </c>
      <c r="B173" s="39">
        <v>4</v>
      </c>
      <c r="C173" s="39">
        <v>48630</v>
      </c>
      <c r="D173" s="39">
        <v>29</v>
      </c>
      <c r="E173" s="39">
        <v>194409</v>
      </c>
      <c r="F173" s="39">
        <v>194409</v>
      </c>
      <c r="G173" s="39">
        <v>194409</v>
      </c>
      <c r="H173" s="39">
        <v>19</v>
      </c>
      <c r="I173" s="39">
        <v>194409</v>
      </c>
      <c r="J173" s="40">
        <v>0</v>
      </c>
      <c r="K173" s="41">
        <v>2.0559999999999998E-2</v>
      </c>
      <c r="L173" s="42">
        <v>0.11</v>
      </c>
      <c r="M173" s="39">
        <v>0.01</v>
      </c>
      <c r="N173" s="57" t="str">
        <f t="shared" si="120"/>
        <v>48630 (48.630 secs)</v>
      </c>
      <c r="O173" s="53" t="str">
        <f t="shared" si="121"/>
        <v>29 (0.029 secs)</v>
      </c>
      <c r="P173" s="53" t="str">
        <f t="shared" si="122"/>
        <v>194409 (194.409 secs)</v>
      </c>
      <c r="Q173" s="53" t="str">
        <f t="shared" si="123"/>
        <v>194409 (194.409 secs)</v>
      </c>
      <c r="R173" s="53" t="str">
        <f t="shared" si="124"/>
        <v>194409 (194.409 secs)</v>
      </c>
      <c r="S173" s="53" t="str">
        <f t="shared" si="125"/>
        <v>19 (0.019 secs)</v>
      </c>
      <c r="T173" s="53" t="str">
        <f t="shared" si="126"/>
        <v>194409 (194.409 secs)</v>
      </c>
      <c r="U173" s="72"/>
    </row>
    <row r="175" spans="1:21">
      <c r="A175" s="21" t="s">
        <v>88</v>
      </c>
      <c r="B175" s="22" t="s">
        <v>89</v>
      </c>
      <c r="C175" s="25"/>
      <c r="D175" s="24"/>
      <c r="E175" s="25"/>
      <c r="F175" s="25"/>
      <c r="G175" s="25"/>
      <c r="H175" s="25"/>
      <c r="I175" s="25"/>
      <c r="J175" s="25"/>
      <c r="K175" s="25"/>
      <c r="N175" s="1"/>
      <c r="O175" s="9"/>
      <c r="P175" s="9"/>
      <c r="Q175" s="9"/>
      <c r="R175" s="9"/>
      <c r="S175" s="9"/>
      <c r="T175" s="77"/>
    </row>
    <row r="176" spans="1:21">
      <c r="A176" s="48" t="s">
        <v>13</v>
      </c>
      <c r="B176" s="27" t="s">
        <v>90</v>
      </c>
      <c r="C176" s="24"/>
      <c r="D176" s="24"/>
      <c r="E176" s="25"/>
      <c r="F176" s="25"/>
      <c r="G176" s="25"/>
      <c r="H176" s="25"/>
      <c r="I176" s="25"/>
      <c r="J176" s="25"/>
      <c r="K176" s="25"/>
      <c r="N176" s="1"/>
      <c r="O176" s="9"/>
      <c r="P176" s="9"/>
      <c r="Q176" s="9"/>
      <c r="R176" s="9"/>
      <c r="S176" s="9"/>
      <c r="T176" s="77"/>
    </row>
    <row r="177" spans="1:21">
      <c r="A177" s="49"/>
      <c r="B177" s="5"/>
      <c r="D177" s="9"/>
      <c r="N177" s="1"/>
      <c r="O177" s="9"/>
      <c r="P177" s="9"/>
      <c r="Q177" s="9"/>
      <c r="R177" s="9"/>
      <c r="S177" s="9"/>
      <c r="T177" s="77"/>
    </row>
    <row r="178" spans="1:21">
      <c r="A178" s="30" t="s">
        <v>114</v>
      </c>
      <c r="B178" s="31" t="s">
        <v>115</v>
      </c>
      <c r="C178" s="31" t="s">
        <v>116</v>
      </c>
      <c r="D178" s="31" t="s">
        <v>117</v>
      </c>
      <c r="E178" s="31" t="s">
        <v>118</v>
      </c>
      <c r="F178" s="31" t="s">
        <v>119</v>
      </c>
      <c r="G178" s="31" t="s">
        <v>120</v>
      </c>
      <c r="H178" s="31" t="s">
        <v>121</v>
      </c>
      <c r="I178" s="31" t="s">
        <v>122</v>
      </c>
      <c r="J178" s="31" t="s">
        <v>123</v>
      </c>
      <c r="K178" s="31" t="s">
        <v>143</v>
      </c>
      <c r="L178" s="31" t="s">
        <v>125</v>
      </c>
      <c r="M178" s="31" t="s">
        <v>126</v>
      </c>
      <c r="N178" s="31" t="s">
        <v>116</v>
      </c>
      <c r="O178" s="31" t="s">
        <v>117</v>
      </c>
      <c r="P178" s="31" t="s">
        <v>118</v>
      </c>
      <c r="Q178" s="31" t="s">
        <v>119</v>
      </c>
      <c r="R178" s="31" t="s">
        <v>120</v>
      </c>
      <c r="S178" s="31" t="s">
        <v>121</v>
      </c>
      <c r="T178" s="31" t="s">
        <v>122</v>
      </c>
      <c r="U178" s="70" t="s">
        <v>127</v>
      </c>
    </row>
    <row r="179" spans="1:21">
      <c r="A179" s="33" t="s">
        <v>33</v>
      </c>
      <c r="B179" s="34">
        <v>1</v>
      </c>
      <c r="C179" s="34">
        <v>246270</v>
      </c>
      <c r="D179" s="34">
        <v>246270</v>
      </c>
      <c r="E179" s="34">
        <v>246270</v>
      </c>
      <c r="F179" s="34">
        <v>246270</v>
      </c>
      <c r="G179" s="34">
        <v>246270</v>
      </c>
      <c r="H179" s="34">
        <v>246270</v>
      </c>
      <c r="I179" s="34">
        <v>246270</v>
      </c>
      <c r="J179" s="35">
        <v>0</v>
      </c>
      <c r="K179" s="36">
        <v>4.0600000000000002E-3</v>
      </c>
      <c r="L179" s="37">
        <v>0</v>
      </c>
      <c r="M179" s="34">
        <v>0</v>
      </c>
      <c r="N179" s="50" t="str">
        <f>C179&amp;" ("&amp;TEXT(C179/60000,"0.000")&amp;" mins)"</f>
        <v>246270 (4.105 mins)</v>
      </c>
      <c r="O179" s="52" t="str">
        <f t="shared" ref="O179:T179" si="127">D179&amp;" ("&amp;TEXT(D179/60000,"0.000")&amp;" mins)"</f>
        <v>246270 (4.105 mins)</v>
      </c>
      <c r="P179" s="52" t="str">
        <f t="shared" si="127"/>
        <v>246270 (4.105 mins)</v>
      </c>
      <c r="Q179" s="52" t="str">
        <f t="shared" si="127"/>
        <v>246270 (4.105 mins)</v>
      </c>
      <c r="R179" s="52" t="str">
        <f t="shared" si="127"/>
        <v>246270 (4.105 mins)</v>
      </c>
      <c r="S179" s="52" t="str">
        <f t="shared" si="127"/>
        <v>246270 (4.105 mins)</v>
      </c>
      <c r="T179" s="52" t="str">
        <f t="shared" si="127"/>
        <v>246270 (4.105 mins)</v>
      </c>
      <c r="U179" s="71" t="s">
        <v>157</v>
      </c>
    </row>
    <row r="180" spans="1:21">
      <c r="A180" s="33" t="s">
        <v>38</v>
      </c>
      <c r="B180" s="34">
        <v>1</v>
      </c>
      <c r="C180" s="34">
        <v>51</v>
      </c>
      <c r="D180" s="34">
        <v>51</v>
      </c>
      <c r="E180" s="34">
        <v>51</v>
      </c>
      <c r="F180" s="34">
        <v>51</v>
      </c>
      <c r="G180" s="34">
        <v>51</v>
      </c>
      <c r="H180" s="34">
        <v>51</v>
      </c>
      <c r="I180" s="34">
        <v>51</v>
      </c>
      <c r="J180" s="35">
        <v>0</v>
      </c>
      <c r="K180" s="36">
        <v>19.607839999999999</v>
      </c>
      <c r="L180" s="37">
        <v>153.74</v>
      </c>
      <c r="M180" s="34">
        <v>6.57</v>
      </c>
      <c r="N180" s="52" t="str">
        <f t="shared" ref="N180:N182" si="128">C180&amp;" ("&amp;TEXT(C180/1000,"0.000")&amp;" secs)"</f>
        <v>51 (0.051 secs)</v>
      </c>
      <c r="O180" s="52" t="str">
        <f t="shared" ref="O180:O182" si="129">D180&amp;" ("&amp;TEXT(D180/1000,"0.000")&amp;" secs)"</f>
        <v>51 (0.051 secs)</v>
      </c>
      <c r="P180" s="52" t="str">
        <f t="shared" ref="P180:P182" si="130">E180&amp;" ("&amp;TEXT(E180/1000,"0.000")&amp;" secs)"</f>
        <v>51 (0.051 secs)</v>
      </c>
      <c r="Q180" s="52" t="str">
        <f t="shared" ref="Q180:Q182" si="131">F180&amp;" ("&amp;TEXT(F180/1000,"0.000")&amp;" secs)"</f>
        <v>51 (0.051 secs)</v>
      </c>
      <c r="R180" s="52" t="str">
        <f t="shared" ref="R180:R182" si="132">G180&amp;" ("&amp;TEXT(G180/1000,"0.000")&amp;" secs)"</f>
        <v>51 (0.051 secs)</v>
      </c>
      <c r="S180" s="52" t="str">
        <f t="shared" ref="S180:S182" si="133">H180&amp;" ("&amp;TEXT(H180/1000,"0.000")&amp;" secs)"</f>
        <v>51 (0.051 secs)</v>
      </c>
      <c r="T180" s="52" t="str">
        <f t="shared" ref="T180:T182" si="134">I180&amp;" ("&amp;TEXT(I180/1000,"0.000")&amp;" secs)"</f>
        <v>51 (0.051 secs)</v>
      </c>
      <c r="U180" s="71"/>
    </row>
    <row r="181" spans="1:21">
      <c r="A181" s="33" t="s">
        <v>39</v>
      </c>
      <c r="B181" s="34">
        <v>1</v>
      </c>
      <c r="C181" s="34">
        <v>27</v>
      </c>
      <c r="D181" s="34">
        <v>27</v>
      </c>
      <c r="E181" s="34">
        <v>27</v>
      </c>
      <c r="F181" s="34">
        <v>27</v>
      </c>
      <c r="G181" s="34">
        <v>27</v>
      </c>
      <c r="H181" s="34">
        <v>27</v>
      </c>
      <c r="I181" s="34">
        <v>27</v>
      </c>
      <c r="J181" s="35">
        <v>0</v>
      </c>
      <c r="K181" s="36">
        <v>37.037039999999998</v>
      </c>
      <c r="L181" s="37">
        <v>732.02</v>
      </c>
      <c r="M181" s="34">
        <v>13.96</v>
      </c>
      <c r="N181" s="52" t="str">
        <f t="shared" si="128"/>
        <v>27 (0.027 secs)</v>
      </c>
      <c r="O181" s="52" t="str">
        <f t="shared" si="129"/>
        <v>27 (0.027 secs)</v>
      </c>
      <c r="P181" s="52" t="str">
        <f t="shared" si="130"/>
        <v>27 (0.027 secs)</v>
      </c>
      <c r="Q181" s="52" t="str">
        <f t="shared" si="131"/>
        <v>27 (0.027 secs)</v>
      </c>
      <c r="R181" s="52" t="str">
        <f t="shared" si="132"/>
        <v>27 (0.027 secs)</v>
      </c>
      <c r="S181" s="52" t="str">
        <f t="shared" si="133"/>
        <v>27 (0.027 secs)</v>
      </c>
      <c r="T181" s="52" t="str">
        <f t="shared" si="134"/>
        <v>27 (0.027 secs)</v>
      </c>
      <c r="U181" s="71"/>
    </row>
    <row r="182" spans="1:21">
      <c r="A182" s="33" t="s">
        <v>40</v>
      </c>
      <c r="B182" s="34">
        <v>1</v>
      </c>
      <c r="C182" s="34">
        <v>27</v>
      </c>
      <c r="D182" s="34">
        <v>27</v>
      </c>
      <c r="E182" s="34">
        <v>27</v>
      </c>
      <c r="F182" s="34">
        <v>27</v>
      </c>
      <c r="G182" s="34">
        <v>27</v>
      </c>
      <c r="H182" s="34">
        <v>27</v>
      </c>
      <c r="I182" s="34">
        <v>27</v>
      </c>
      <c r="J182" s="35">
        <v>0</v>
      </c>
      <c r="K182" s="36">
        <v>37.037039999999998</v>
      </c>
      <c r="L182" s="37">
        <v>24.45</v>
      </c>
      <c r="M182" s="34">
        <v>13.42</v>
      </c>
      <c r="N182" s="52" t="str">
        <f t="shared" si="128"/>
        <v>27 (0.027 secs)</v>
      </c>
      <c r="O182" s="52" t="str">
        <f t="shared" si="129"/>
        <v>27 (0.027 secs)</v>
      </c>
      <c r="P182" s="52" t="str">
        <f t="shared" si="130"/>
        <v>27 (0.027 secs)</v>
      </c>
      <c r="Q182" s="52" t="str">
        <f t="shared" si="131"/>
        <v>27 (0.027 secs)</v>
      </c>
      <c r="R182" s="52" t="str">
        <f t="shared" si="132"/>
        <v>27 (0.027 secs)</v>
      </c>
      <c r="S182" s="52" t="str">
        <f t="shared" si="133"/>
        <v>27 (0.027 secs)</v>
      </c>
      <c r="T182" s="52" t="str">
        <f t="shared" si="134"/>
        <v>27 (0.027 secs)</v>
      </c>
      <c r="U182" s="71"/>
    </row>
    <row r="183" spans="1:21" ht="15" thickBot="1">
      <c r="A183" s="38" t="s">
        <v>128</v>
      </c>
      <c r="B183" s="39">
        <v>4</v>
      </c>
      <c r="C183" s="39">
        <v>61593</v>
      </c>
      <c r="D183" s="39">
        <v>27</v>
      </c>
      <c r="E183" s="39">
        <v>246270</v>
      </c>
      <c r="F183" s="39">
        <v>246270</v>
      </c>
      <c r="G183" s="39">
        <v>246270</v>
      </c>
      <c r="H183" s="39">
        <v>27</v>
      </c>
      <c r="I183" s="39">
        <v>246270</v>
      </c>
      <c r="J183" s="40">
        <v>0</v>
      </c>
      <c r="K183" s="41">
        <v>1.6230000000000001E-2</v>
      </c>
      <c r="L183" s="42">
        <v>0.12</v>
      </c>
      <c r="M183" s="39">
        <v>0.01</v>
      </c>
      <c r="N183" s="57" t="str">
        <f>C183&amp;" ("&amp;TEXT(C183/60000,"0.000")&amp;" mins)"</f>
        <v>61593 (1.027 mins)</v>
      </c>
      <c r="O183" s="53" t="str">
        <f>D183&amp;" ("&amp;TEXT(D183/1000,"0.000")&amp;" secs)"</f>
        <v>27 (0.027 secs)</v>
      </c>
      <c r="P183" s="53" t="str">
        <f t="shared" ref="P183:R183" si="135">E183&amp;" ("&amp;TEXT(E183/60000,"0.000")&amp;" mins)"</f>
        <v>246270 (4.105 mins)</v>
      </c>
      <c r="Q183" s="53" t="str">
        <f t="shared" si="135"/>
        <v>246270 (4.105 mins)</v>
      </c>
      <c r="R183" s="53" t="str">
        <f t="shared" si="135"/>
        <v>246270 (4.105 mins)</v>
      </c>
      <c r="S183" s="53" t="str">
        <f>H183&amp;" ("&amp;TEXT(H183/1000,"0.000")&amp;" secs)"</f>
        <v>27 (0.027 secs)</v>
      </c>
      <c r="T183" s="53" t="str">
        <f t="shared" ref="T183" si="136">I183&amp;" ("&amp;TEXT(I183/60000,"0.000")&amp;" mins)"</f>
        <v>246270 (4.105 mins)</v>
      </c>
      <c r="U183" s="72"/>
    </row>
    <row r="184" spans="1:21">
      <c r="C184" s="29"/>
      <c r="D184" s="28"/>
      <c r="E184" s="29"/>
      <c r="F184" s="29"/>
    </row>
    <row r="185" spans="1:21">
      <c r="A185" s="21" t="s">
        <v>91</v>
      </c>
      <c r="B185" s="22" t="s">
        <v>158</v>
      </c>
      <c r="C185" s="25"/>
      <c r="D185" s="24"/>
      <c r="E185" s="25"/>
      <c r="F185" s="25"/>
      <c r="G185" s="25"/>
      <c r="H185" s="25"/>
      <c r="I185" s="25"/>
      <c r="J185" s="25"/>
      <c r="K185" s="25"/>
      <c r="N185" s="1"/>
      <c r="O185" s="9"/>
      <c r="P185" s="9"/>
      <c r="Q185" s="9"/>
      <c r="R185" s="9"/>
      <c r="S185" s="9"/>
      <c r="T185" s="77"/>
    </row>
    <row r="186" spans="1:21">
      <c r="A186" s="48" t="s">
        <v>13</v>
      </c>
      <c r="B186" s="27" t="s">
        <v>92</v>
      </c>
      <c r="C186" s="24"/>
      <c r="D186" s="24"/>
      <c r="E186" s="25"/>
      <c r="F186" s="25"/>
      <c r="G186" s="25"/>
      <c r="H186" s="25"/>
      <c r="I186" s="25"/>
      <c r="J186" s="25"/>
      <c r="K186" s="25"/>
      <c r="N186" s="1"/>
      <c r="O186" s="9"/>
      <c r="P186" s="9"/>
      <c r="Q186" s="9"/>
      <c r="R186" s="9"/>
      <c r="S186" s="9"/>
      <c r="T186" s="77"/>
    </row>
    <row r="187" spans="1:21">
      <c r="A187" s="49"/>
      <c r="B187" s="5"/>
      <c r="D187" s="9"/>
      <c r="N187" s="1"/>
      <c r="O187" s="9"/>
      <c r="P187" s="9"/>
      <c r="Q187" s="9"/>
      <c r="R187" s="9"/>
      <c r="S187" s="9"/>
      <c r="T187" s="77"/>
    </row>
    <row r="188" spans="1:21">
      <c r="A188" s="30" t="s">
        <v>114</v>
      </c>
      <c r="B188" s="31" t="s">
        <v>115</v>
      </c>
      <c r="C188" s="31" t="s">
        <v>116</v>
      </c>
      <c r="D188" s="31" t="s">
        <v>117</v>
      </c>
      <c r="E188" s="31" t="s">
        <v>118</v>
      </c>
      <c r="F188" s="31" t="s">
        <v>119</v>
      </c>
      <c r="G188" s="31" t="s">
        <v>120</v>
      </c>
      <c r="H188" s="31" t="s">
        <v>121</v>
      </c>
      <c r="I188" s="31" t="s">
        <v>122</v>
      </c>
      <c r="J188" s="31" t="s">
        <v>123</v>
      </c>
      <c r="K188" s="31" t="s">
        <v>143</v>
      </c>
      <c r="L188" s="31" t="s">
        <v>125</v>
      </c>
      <c r="M188" s="31" t="s">
        <v>126</v>
      </c>
      <c r="N188" s="31" t="s">
        <v>116</v>
      </c>
      <c r="O188" s="31" t="s">
        <v>117</v>
      </c>
      <c r="P188" s="31" t="s">
        <v>118</v>
      </c>
      <c r="Q188" s="31" t="s">
        <v>119</v>
      </c>
      <c r="R188" s="31" t="s">
        <v>120</v>
      </c>
      <c r="S188" s="31" t="s">
        <v>121</v>
      </c>
      <c r="T188" s="31" t="s">
        <v>122</v>
      </c>
      <c r="U188" s="70" t="s">
        <v>127</v>
      </c>
    </row>
    <row r="189" spans="1:21">
      <c r="A189" s="33" t="s">
        <v>33</v>
      </c>
      <c r="B189" s="34">
        <v>1</v>
      </c>
      <c r="C189" s="34">
        <v>2739</v>
      </c>
      <c r="D189" s="34">
        <v>2739</v>
      </c>
      <c r="E189" s="34">
        <v>2739</v>
      </c>
      <c r="F189" s="34">
        <v>2739</v>
      </c>
      <c r="G189" s="34">
        <v>2739</v>
      </c>
      <c r="H189" s="34">
        <v>2739</v>
      </c>
      <c r="I189" s="34">
        <v>2739</v>
      </c>
      <c r="J189" s="35">
        <v>0</v>
      </c>
      <c r="K189" s="36">
        <v>0.36509999999999998</v>
      </c>
      <c r="L189" s="37">
        <v>7.0000000000000007E-2</v>
      </c>
      <c r="M189" s="34">
        <v>0.17</v>
      </c>
      <c r="N189" s="50" t="str">
        <f>C189&amp;" ("&amp;TEXT(C189/1000,"0.000")&amp;" secs)"</f>
        <v>2739 (2.739 secs)</v>
      </c>
      <c r="O189" s="52" t="str">
        <f>D189&amp;" ("&amp;TEXT(D189/1000,"0.000")&amp;" secs)"</f>
        <v>2739 (2.739 secs)</v>
      </c>
      <c r="P189" s="52" t="str">
        <f t="shared" ref="P189:P193" si="137">E189&amp;" ("&amp;TEXT(E189/1000,"0.000")&amp;" secs)"</f>
        <v>2739 (2.739 secs)</v>
      </c>
      <c r="Q189" s="52" t="str">
        <f t="shared" ref="Q189:Q193" si="138">F189&amp;" ("&amp;TEXT(F189/1000,"0.000")&amp;" secs)"</f>
        <v>2739 (2.739 secs)</v>
      </c>
      <c r="R189" s="52" t="str">
        <f t="shared" ref="R189:R193" si="139">G189&amp;" ("&amp;TEXT(G189/1000,"0.000")&amp;" secs)"</f>
        <v>2739 (2.739 secs)</v>
      </c>
      <c r="S189" s="52" t="str">
        <f t="shared" ref="S189:S193" si="140">H189&amp;" ("&amp;TEXT(H189/1000,"0.000")&amp;" secs)"</f>
        <v>2739 (2.739 secs)</v>
      </c>
      <c r="T189" s="52" t="str">
        <f t="shared" ref="T189:T193" si="141">I189&amp;" ("&amp;TEXT(I189/1000,"0.000")&amp;" secs)"</f>
        <v>2739 (2.739 secs)</v>
      </c>
      <c r="U189" s="71" t="s">
        <v>157</v>
      </c>
    </row>
    <row r="190" spans="1:21">
      <c r="A190" s="33" t="s">
        <v>38</v>
      </c>
      <c r="B190" s="34">
        <v>1</v>
      </c>
      <c r="C190" s="34">
        <v>45</v>
      </c>
      <c r="D190" s="34">
        <v>45</v>
      </c>
      <c r="E190" s="34">
        <v>45</v>
      </c>
      <c r="F190" s="34">
        <v>45</v>
      </c>
      <c r="G190" s="34">
        <v>45</v>
      </c>
      <c r="H190" s="34">
        <v>45</v>
      </c>
      <c r="I190" s="34">
        <v>45</v>
      </c>
      <c r="J190" s="35">
        <v>0</v>
      </c>
      <c r="K190" s="36">
        <v>22.22222</v>
      </c>
      <c r="L190" s="37">
        <v>183.88</v>
      </c>
      <c r="M190" s="34">
        <v>7.44</v>
      </c>
      <c r="N190" s="52" t="str">
        <f t="shared" ref="N190:N193" si="142">C190&amp;" ("&amp;TEXT(C190/1000,"0.000")&amp;" secs)"</f>
        <v>45 (0.045 secs)</v>
      </c>
      <c r="O190" s="52" t="str">
        <f t="shared" ref="O190:O193" si="143">D190&amp;" ("&amp;TEXT(D190/1000,"0.000")&amp;" secs)"</f>
        <v>45 (0.045 secs)</v>
      </c>
      <c r="P190" s="52" t="str">
        <f t="shared" si="137"/>
        <v>45 (0.045 secs)</v>
      </c>
      <c r="Q190" s="52" t="str">
        <f t="shared" si="138"/>
        <v>45 (0.045 secs)</v>
      </c>
      <c r="R190" s="52" t="str">
        <f t="shared" si="139"/>
        <v>45 (0.045 secs)</v>
      </c>
      <c r="S190" s="52" t="str">
        <f t="shared" si="140"/>
        <v>45 (0.045 secs)</v>
      </c>
      <c r="T190" s="52" t="str">
        <f t="shared" si="141"/>
        <v>45 (0.045 secs)</v>
      </c>
      <c r="U190" s="71"/>
    </row>
    <row r="191" spans="1:21">
      <c r="A191" s="33" t="s">
        <v>39</v>
      </c>
      <c r="B191" s="34">
        <v>1</v>
      </c>
      <c r="C191" s="34">
        <v>24</v>
      </c>
      <c r="D191" s="34">
        <v>24</v>
      </c>
      <c r="E191" s="34">
        <v>24</v>
      </c>
      <c r="F191" s="34">
        <v>24</v>
      </c>
      <c r="G191" s="34">
        <v>24</v>
      </c>
      <c r="H191" s="34">
        <v>24</v>
      </c>
      <c r="I191" s="34">
        <v>24</v>
      </c>
      <c r="J191" s="35">
        <v>0</v>
      </c>
      <c r="K191" s="36">
        <v>41.666670000000003</v>
      </c>
      <c r="L191" s="37">
        <v>8.9499999999999993</v>
      </c>
      <c r="M191" s="34">
        <v>15.71</v>
      </c>
      <c r="N191" s="52" t="str">
        <f t="shared" si="142"/>
        <v>24 (0.024 secs)</v>
      </c>
      <c r="O191" s="52" t="str">
        <f t="shared" si="143"/>
        <v>24 (0.024 secs)</v>
      </c>
      <c r="P191" s="52" t="str">
        <f t="shared" si="137"/>
        <v>24 (0.024 secs)</v>
      </c>
      <c r="Q191" s="52" t="str">
        <f t="shared" si="138"/>
        <v>24 (0.024 secs)</v>
      </c>
      <c r="R191" s="52" t="str">
        <f t="shared" si="139"/>
        <v>24 (0.024 secs)</v>
      </c>
      <c r="S191" s="52" t="str">
        <f t="shared" si="140"/>
        <v>24 (0.024 secs)</v>
      </c>
      <c r="T191" s="52" t="str">
        <f t="shared" si="141"/>
        <v>24 (0.024 secs)</v>
      </c>
      <c r="U191" s="71"/>
    </row>
    <row r="192" spans="1:21">
      <c r="A192" s="33" t="s">
        <v>40</v>
      </c>
      <c r="B192" s="34">
        <v>1</v>
      </c>
      <c r="C192" s="34">
        <v>20</v>
      </c>
      <c r="D192" s="34">
        <v>20</v>
      </c>
      <c r="E192" s="34">
        <v>20</v>
      </c>
      <c r="F192" s="34">
        <v>20</v>
      </c>
      <c r="G192" s="34">
        <v>20</v>
      </c>
      <c r="H192" s="34">
        <v>20</v>
      </c>
      <c r="I192" s="34">
        <v>20</v>
      </c>
      <c r="J192" s="35">
        <v>0</v>
      </c>
      <c r="K192" s="36">
        <v>50</v>
      </c>
      <c r="L192" s="37">
        <v>15.87</v>
      </c>
      <c r="M192" s="34">
        <v>17.97</v>
      </c>
      <c r="N192" s="52" t="str">
        <f t="shared" si="142"/>
        <v>20 (0.020 secs)</v>
      </c>
      <c r="O192" s="52" t="str">
        <f t="shared" si="143"/>
        <v>20 (0.020 secs)</v>
      </c>
      <c r="P192" s="52" t="str">
        <f t="shared" si="137"/>
        <v>20 (0.020 secs)</v>
      </c>
      <c r="Q192" s="52" t="str">
        <f t="shared" si="138"/>
        <v>20 (0.020 secs)</v>
      </c>
      <c r="R192" s="52" t="str">
        <f t="shared" si="139"/>
        <v>20 (0.020 secs)</v>
      </c>
      <c r="S192" s="52" t="str">
        <f t="shared" si="140"/>
        <v>20 (0.020 secs)</v>
      </c>
      <c r="T192" s="52" t="str">
        <f t="shared" si="141"/>
        <v>20 (0.020 secs)</v>
      </c>
      <c r="U192" s="71"/>
    </row>
    <row r="193" spans="1:21" ht="15" thickBot="1">
      <c r="A193" s="38" t="s">
        <v>128</v>
      </c>
      <c r="B193" s="39">
        <v>4</v>
      </c>
      <c r="C193" s="39">
        <v>707</v>
      </c>
      <c r="D193" s="39">
        <v>24</v>
      </c>
      <c r="E193" s="39">
        <v>2739</v>
      </c>
      <c r="F193" s="39">
        <v>2739</v>
      </c>
      <c r="G193" s="39">
        <v>2739</v>
      </c>
      <c r="H193" s="39">
        <v>20</v>
      </c>
      <c r="I193" s="39">
        <v>2739</v>
      </c>
      <c r="J193" s="40">
        <v>0</v>
      </c>
      <c r="K193" s="41">
        <v>1.40154</v>
      </c>
      <c r="L193" s="42">
        <v>3.16</v>
      </c>
      <c r="M193" s="39">
        <v>0.53</v>
      </c>
      <c r="N193" s="53" t="str">
        <f t="shared" si="142"/>
        <v>707 (0.707 secs)</v>
      </c>
      <c r="O193" s="53" t="str">
        <f t="shared" si="143"/>
        <v>24 (0.024 secs)</v>
      </c>
      <c r="P193" s="53" t="str">
        <f t="shared" si="137"/>
        <v>2739 (2.739 secs)</v>
      </c>
      <c r="Q193" s="53" t="str">
        <f t="shared" si="138"/>
        <v>2739 (2.739 secs)</v>
      </c>
      <c r="R193" s="53" t="str">
        <f t="shared" si="139"/>
        <v>2739 (2.739 secs)</v>
      </c>
      <c r="S193" s="53" t="str">
        <f t="shared" si="140"/>
        <v>20 (0.020 secs)</v>
      </c>
      <c r="T193" s="53" t="str">
        <f t="shared" si="141"/>
        <v>2739 (2.739 secs)</v>
      </c>
      <c r="U193" s="72"/>
    </row>
    <row r="195" spans="1:21">
      <c r="A195" s="21" t="s">
        <v>93</v>
      </c>
      <c r="B195" s="22" t="s">
        <v>94</v>
      </c>
      <c r="C195" s="25"/>
      <c r="D195" s="25"/>
      <c r="E195" s="25"/>
      <c r="F195" s="25"/>
      <c r="G195" s="25"/>
      <c r="H195" s="25"/>
      <c r="I195" s="25"/>
      <c r="J195" s="25"/>
      <c r="K195" s="25"/>
      <c r="N195" s="1"/>
      <c r="O195" s="9"/>
      <c r="P195" s="9"/>
      <c r="Q195" s="9"/>
      <c r="R195" s="9"/>
      <c r="S195" s="9"/>
      <c r="T195" s="77"/>
    </row>
    <row r="196" spans="1:21">
      <c r="A196" s="48" t="s">
        <v>13</v>
      </c>
      <c r="B196" s="27" t="s">
        <v>159</v>
      </c>
      <c r="C196" s="24"/>
      <c r="D196" s="24"/>
      <c r="E196" s="25"/>
      <c r="F196" s="25"/>
      <c r="G196" s="25"/>
      <c r="H196" s="25"/>
      <c r="I196" s="25"/>
      <c r="J196" s="25"/>
      <c r="K196" s="25"/>
      <c r="N196" s="1"/>
      <c r="O196" s="9"/>
      <c r="P196" s="9"/>
      <c r="Q196" s="9"/>
      <c r="R196" s="9"/>
      <c r="S196" s="9"/>
      <c r="T196" s="77"/>
    </row>
    <row r="197" spans="1:21">
      <c r="A197" s="49"/>
      <c r="B197" s="5"/>
      <c r="D197" s="9"/>
      <c r="N197" s="1"/>
      <c r="O197" s="9"/>
      <c r="P197" s="9"/>
      <c r="Q197" s="9"/>
      <c r="R197" s="9"/>
      <c r="S197" s="9"/>
      <c r="T197" s="77"/>
    </row>
    <row r="198" spans="1:21">
      <c r="A198" s="30" t="s">
        <v>114</v>
      </c>
      <c r="B198" s="31" t="s">
        <v>115</v>
      </c>
      <c r="C198" s="31" t="s">
        <v>116</v>
      </c>
      <c r="D198" s="31" t="s">
        <v>117</v>
      </c>
      <c r="E198" s="31" t="s">
        <v>118</v>
      </c>
      <c r="F198" s="31" t="s">
        <v>119</v>
      </c>
      <c r="G198" s="31" t="s">
        <v>120</v>
      </c>
      <c r="H198" s="31" t="s">
        <v>121</v>
      </c>
      <c r="I198" s="31" t="s">
        <v>122</v>
      </c>
      <c r="J198" s="31" t="s">
        <v>123</v>
      </c>
      <c r="K198" s="31" t="s">
        <v>143</v>
      </c>
      <c r="L198" s="31" t="s">
        <v>125</v>
      </c>
      <c r="M198" s="31" t="s">
        <v>126</v>
      </c>
      <c r="N198" s="31" t="s">
        <v>116</v>
      </c>
      <c r="O198" s="31" t="s">
        <v>117</v>
      </c>
      <c r="P198" s="31" t="s">
        <v>118</v>
      </c>
      <c r="Q198" s="31" t="s">
        <v>119</v>
      </c>
      <c r="R198" s="31" t="s">
        <v>120</v>
      </c>
      <c r="S198" s="31" t="s">
        <v>121</v>
      </c>
      <c r="T198" s="31" t="s">
        <v>122</v>
      </c>
      <c r="U198" s="70" t="s">
        <v>127</v>
      </c>
    </row>
    <row r="199" spans="1:21">
      <c r="A199" s="33" t="s">
        <v>33</v>
      </c>
      <c r="B199" s="34">
        <v>1</v>
      </c>
      <c r="C199" s="34">
        <v>86057</v>
      </c>
      <c r="D199" s="34">
        <v>86057</v>
      </c>
      <c r="E199" s="34">
        <v>86057</v>
      </c>
      <c r="F199" s="34">
        <v>86057</v>
      </c>
      <c r="G199" s="34">
        <v>86057</v>
      </c>
      <c r="H199" s="34">
        <v>86057</v>
      </c>
      <c r="I199" s="34">
        <v>86057</v>
      </c>
      <c r="J199" s="35">
        <v>0</v>
      </c>
      <c r="K199" s="36">
        <v>1.162E-2</v>
      </c>
      <c r="L199" s="37">
        <v>0</v>
      </c>
      <c r="M199" s="34">
        <v>0.01</v>
      </c>
      <c r="N199" s="50" t="str">
        <f>C199&amp;" ("&amp;TEXT(C199/1000,"0.000")&amp;" secs)"</f>
        <v>86057 (86.057 secs)</v>
      </c>
      <c r="O199" s="52" t="str">
        <f>D199&amp;" ("&amp;TEXT(D199/1000,"0.000")&amp;" secs)"</f>
        <v>86057 (86.057 secs)</v>
      </c>
      <c r="P199" s="52" t="str">
        <f t="shared" ref="P199:P203" si="144">E199&amp;" ("&amp;TEXT(E199/1000,"0.000")&amp;" secs)"</f>
        <v>86057 (86.057 secs)</v>
      </c>
      <c r="Q199" s="52" t="str">
        <f t="shared" ref="Q199:Q203" si="145">F199&amp;" ("&amp;TEXT(F199/1000,"0.000")&amp;" secs)"</f>
        <v>86057 (86.057 secs)</v>
      </c>
      <c r="R199" s="52" t="str">
        <f t="shared" ref="R199:R203" si="146">G199&amp;" ("&amp;TEXT(G199/1000,"0.000")&amp;" secs)"</f>
        <v>86057 (86.057 secs)</v>
      </c>
      <c r="S199" s="52" t="str">
        <f t="shared" ref="S199:S203" si="147">H199&amp;" ("&amp;TEXT(H199/1000,"0.000")&amp;" secs)"</f>
        <v>86057 (86.057 secs)</v>
      </c>
      <c r="T199" s="52" t="str">
        <f t="shared" ref="T199:T203" si="148">I199&amp;" ("&amp;TEXT(I199/1000,"0.000")&amp;" secs)"</f>
        <v>86057 (86.057 secs)</v>
      </c>
      <c r="U199" s="71" t="s">
        <v>157</v>
      </c>
    </row>
    <row r="200" spans="1:21">
      <c r="A200" s="33" t="s">
        <v>38</v>
      </c>
      <c r="B200" s="34">
        <v>1</v>
      </c>
      <c r="C200" s="34">
        <v>71</v>
      </c>
      <c r="D200" s="34">
        <v>71</v>
      </c>
      <c r="E200" s="34">
        <v>71</v>
      </c>
      <c r="F200" s="34">
        <v>71</v>
      </c>
      <c r="G200" s="34">
        <v>71</v>
      </c>
      <c r="H200" s="34">
        <v>71</v>
      </c>
      <c r="I200" s="34">
        <v>71</v>
      </c>
      <c r="J200" s="35">
        <v>0</v>
      </c>
      <c r="K200" s="36">
        <v>14.08451</v>
      </c>
      <c r="L200" s="37">
        <v>122.68</v>
      </c>
      <c r="M200" s="34">
        <v>4.72</v>
      </c>
      <c r="N200" s="52" t="str">
        <f t="shared" ref="N200:N203" si="149">C200&amp;" ("&amp;TEXT(C200/1000,"0.000")&amp;" secs)"</f>
        <v>71 (0.071 secs)</v>
      </c>
      <c r="O200" s="52" t="str">
        <f t="shared" ref="O200:O203" si="150">D200&amp;" ("&amp;TEXT(D200/1000,"0.000")&amp;" secs)"</f>
        <v>71 (0.071 secs)</v>
      </c>
      <c r="P200" s="52" t="str">
        <f t="shared" si="144"/>
        <v>71 (0.071 secs)</v>
      </c>
      <c r="Q200" s="52" t="str">
        <f t="shared" si="145"/>
        <v>71 (0.071 secs)</v>
      </c>
      <c r="R200" s="52" t="str">
        <f t="shared" si="146"/>
        <v>71 (0.071 secs)</v>
      </c>
      <c r="S200" s="52" t="str">
        <f t="shared" si="147"/>
        <v>71 (0.071 secs)</v>
      </c>
      <c r="T200" s="52" t="str">
        <f t="shared" si="148"/>
        <v>71 (0.071 secs)</v>
      </c>
      <c r="U200" s="71"/>
    </row>
    <row r="201" spans="1:21">
      <c r="A201" s="33" t="s">
        <v>39</v>
      </c>
      <c r="B201" s="34">
        <v>1</v>
      </c>
      <c r="C201" s="34">
        <v>32</v>
      </c>
      <c r="D201" s="34">
        <v>32</v>
      </c>
      <c r="E201" s="34">
        <v>32</v>
      </c>
      <c r="F201" s="34">
        <v>32</v>
      </c>
      <c r="G201" s="34">
        <v>32</v>
      </c>
      <c r="H201" s="34">
        <v>32</v>
      </c>
      <c r="I201" s="34">
        <v>32</v>
      </c>
      <c r="J201" s="35">
        <v>0</v>
      </c>
      <c r="K201" s="36">
        <v>31.25</v>
      </c>
      <c r="L201" s="37">
        <v>192.26</v>
      </c>
      <c r="M201" s="34">
        <v>11.78</v>
      </c>
      <c r="N201" s="52" t="str">
        <f t="shared" si="149"/>
        <v>32 (0.032 secs)</v>
      </c>
      <c r="O201" s="52" t="str">
        <f t="shared" si="150"/>
        <v>32 (0.032 secs)</v>
      </c>
      <c r="P201" s="52" t="str">
        <f t="shared" si="144"/>
        <v>32 (0.032 secs)</v>
      </c>
      <c r="Q201" s="52" t="str">
        <f t="shared" si="145"/>
        <v>32 (0.032 secs)</v>
      </c>
      <c r="R201" s="52" t="str">
        <f t="shared" si="146"/>
        <v>32 (0.032 secs)</v>
      </c>
      <c r="S201" s="52" t="str">
        <f t="shared" si="147"/>
        <v>32 (0.032 secs)</v>
      </c>
      <c r="T201" s="52" t="str">
        <f t="shared" si="148"/>
        <v>32 (0.032 secs)</v>
      </c>
      <c r="U201" s="71"/>
    </row>
    <row r="202" spans="1:21">
      <c r="A202" s="33" t="s">
        <v>40</v>
      </c>
      <c r="B202" s="34">
        <v>1</v>
      </c>
      <c r="C202" s="34">
        <v>22</v>
      </c>
      <c r="D202" s="34">
        <v>22</v>
      </c>
      <c r="E202" s="34">
        <v>22</v>
      </c>
      <c r="F202" s="34">
        <v>22</v>
      </c>
      <c r="G202" s="34">
        <v>22</v>
      </c>
      <c r="H202" s="34">
        <v>22</v>
      </c>
      <c r="I202" s="34">
        <v>22</v>
      </c>
      <c r="J202" s="35">
        <v>0</v>
      </c>
      <c r="K202" s="36">
        <v>45.454549999999998</v>
      </c>
      <c r="L202" s="37">
        <v>30.01</v>
      </c>
      <c r="M202" s="34">
        <v>16.420000000000002</v>
      </c>
      <c r="N202" s="52" t="str">
        <f t="shared" si="149"/>
        <v>22 (0.022 secs)</v>
      </c>
      <c r="O202" s="52" t="str">
        <f t="shared" si="150"/>
        <v>22 (0.022 secs)</v>
      </c>
      <c r="P202" s="52" t="str">
        <f t="shared" si="144"/>
        <v>22 (0.022 secs)</v>
      </c>
      <c r="Q202" s="52" t="str">
        <f t="shared" si="145"/>
        <v>22 (0.022 secs)</v>
      </c>
      <c r="R202" s="52" t="str">
        <f t="shared" si="146"/>
        <v>22 (0.022 secs)</v>
      </c>
      <c r="S202" s="52" t="str">
        <f t="shared" si="147"/>
        <v>22 (0.022 secs)</v>
      </c>
      <c r="T202" s="52" t="str">
        <f t="shared" si="148"/>
        <v>22 (0.022 secs)</v>
      </c>
      <c r="U202" s="71"/>
    </row>
    <row r="203" spans="1:21" ht="15" thickBot="1">
      <c r="A203" s="38" t="s">
        <v>128</v>
      </c>
      <c r="B203" s="39">
        <v>4</v>
      </c>
      <c r="C203" s="39">
        <v>21545</v>
      </c>
      <c r="D203" s="39">
        <v>32</v>
      </c>
      <c r="E203" s="39">
        <v>86057</v>
      </c>
      <c r="F203" s="39">
        <v>86057</v>
      </c>
      <c r="G203" s="39">
        <v>86057</v>
      </c>
      <c r="H203" s="39">
        <v>22</v>
      </c>
      <c r="I203" s="39">
        <v>86057</v>
      </c>
      <c r="J203" s="40">
        <v>0</v>
      </c>
      <c r="K203" s="41">
        <v>4.6399999999999997E-2</v>
      </c>
      <c r="L203" s="42">
        <v>0.18</v>
      </c>
      <c r="M203" s="39">
        <v>0.02</v>
      </c>
      <c r="N203" s="57" t="str">
        <f t="shared" si="149"/>
        <v>21545 (21.545 secs)</v>
      </c>
      <c r="O203" s="53" t="str">
        <f t="shared" si="150"/>
        <v>32 (0.032 secs)</v>
      </c>
      <c r="P203" s="53" t="str">
        <f t="shared" si="144"/>
        <v>86057 (86.057 secs)</v>
      </c>
      <c r="Q203" s="53" t="str">
        <f t="shared" si="145"/>
        <v>86057 (86.057 secs)</v>
      </c>
      <c r="R203" s="53" t="str">
        <f t="shared" si="146"/>
        <v>86057 (86.057 secs)</v>
      </c>
      <c r="S203" s="53" t="str">
        <f t="shared" si="147"/>
        <v>22 (0.022 secs)</v>
      </c>
      <c r="T203" s="53" t="str">
        <f t="shared" si="148"/>
        <v>86057 (86.057 secs)</v>
      </c>
      <c r="U203" s="72"/>
    </row>
    <row r="205" spans="1:21">
      <c r="A205" s="21" t="s">
        <v>96</v>
      </c>
      <c r="B205" s="22" t="s">
        <v>97</v>
      </c>
      <c r="C205" s="25"/>
      <c r="D205" s="25"/>
      <c r="E205" s="25"/>
      <c r="F205" s="25"/>
      <c r="G205" s="25"/>
      <c r="H205" s="25"/>
      <c r="I205" s="25"/>
      <c r="J205" s="25"/>
      <c r="K205" s="25"/>
      <c r="N205" s="1"/>
      <c r="O205" s="9"/>
      <c r="P205" s="9"/>
      <c r="Q205" s="9"/>
      <c r="R205" s="9"/>
      <c r="S205" s="9"/>
      <c r="T205" s="77"/>
    </row>
    <row r="206" spans="1:21">
      <c r="A206" s="48" t="s">
        <v>13</v>
      </c>
      <c r="B206" s="58" t="s">
        <v>98</v>
      </c>
      <c r="C206" s="24"/>
      <c r="D206" s="24"/>
      <c r="E206" s="25"/>
      <c r="F206" s="25"/>
      <c r="G206" s="25"/>
      <c r="H206" s="25"/>
      <c r="I206" s="25"/>
      <c r="J206" s="25"/>
      <c r="K206" s="25"/>
      <c r="N206" s="1"/>
      <c r="O206" s="9"/>
      <c r="P206" s="9"/>
      <c r="Q206" s="9"/>
      <c r="R206" s="9"/>
      <c r="S206" s="9"/>
      <c r="T206" s="77"/>
    </row>
    <row r="207" spans="1:21">
      <c r="A207" s="49"/>
      <c r="B207" s="5"/>
      <c r="D207" s="9"/>
      <c r="N207" s="1"/>
      <c r="O207" s="9"/>
      <c r="P207" s="9"/>
      <c r="Q207" s="9"/>
      <c r="R207" s="9"/>
      <c r="S207" s="9"/>
      <c r="T207" s="77"/>
    </row>
    <row r="208" spans="1:21">
      <c r="A208" s="30" t="s">
        <v>114</v>
      </c>
      <c r="B208" s="31" t="s">
        <v>115</v>
      </c>
      <c r="C208" s="31" t="s">
        <v>116</v>
      </c>
      <c r="D208" s="31" t="s">
        <v>117</v>
      </c>
      <c r="E208" s="31" t="s">
        <v>118</v>
      </c>
      <c r="F208" s="31" t="s">
        <v>119</v>
      </c>
      <c r="G208" s="31" t="s">
        <v>120</v>
      </c>
      <c r="H208" s="31" t="s">
        <v>121</v>
      </c>
      <c r="I208" s="31" t="s">
        <v>122</v>
      </c>
      <c r="J208" s="31" t="s">
        <v>123</v>
      </c>
      <c r="K208" s="31" t="s">
        <v>143</v>
      </c>
      <c r="L208" s="31" t="s">
        <v>125</v>
      </c>
      <c r="M208" s="31" t="s">
        <v>126</v>
      </c>
      <c r="N208" s="31" t="s">
        <v>116</v>
      </c>
      <c r="O208" s="31" t="s">
        <v>117</v>
      </c>
      <c r="P208" s="31" t="s">
        <v>118</v>
      </c>
      <c r="Q208" s="31" t="s">
        <v>119</v>
      </c>
      <c r="R208" s="31" t="s">
        <v>120</v>
      </c>
      <c r="S208" s="31" t="s">
        <v>121</v>
      </c>
      <c r="T208" s="31" t="s">
        <v>122</v>
      </c>
      <c r="U208" s="70" t="s">
        <v>127</v>
      </c>
    </row>
    <row r="209" spans="1:21">
      <c r="A209" s="33" t="s">
        <v>33</v>
      </c>
      <c r="B209" s="34">
        <v>2</v>
      </c>
      <c r="C209" s="34">
        <v>17947</v>
      </c>
      <c r="D209" s="34">
        <v>13562</v>
      </c>
      <c r="E209" s="34">
        <v>22332</v>
      </c>
      <c r="F209" s="34">
        <v>22332</v>
      </c>
      <c r="G209" s="34">
        <v>22332</v>
      </c>
      <c r="H209" s="34">
        <v>13562</v>
      </c>
      <c r="I209" s="34">
        <v>22332</v>
      </c>
      <c r="J209" s="35">
        <v>0</v>
      </c>
      <c r="K209" s="36">
        <v>8.9560000000000001E-2</v>
      </c>
      <c r="L209" s="37">
        <v>0.02</v>
      </c>
      <c r="M209" s="34">
        <v>0.04</v>
      </c>
      <c r="N209" s="50" t="str">
        <f>C209&amp;" ("&amp;TEXT(C209/1000,"0.000")&amp;" secs)"</f>
        <v>17947 (17.947 secs)</v>
      </c>
      <c r="O209" s="52" t="str">
        <f>D209&amp;" ("&amp;TEXT(D209/1000,"0.000")&amp;" secs)"</f>
        <v>13562 (13.562 secs)</v>
      </c>
      <c r="P209" s="52" t="str">
        <f t="shared" ref="P209:P213" si="151">E209&amp;" ("&amp;TEXT(E209/1000,"0.000")&amp;" secs)"</f>
        <v>22332 (22.332 secs)</v>
      </c>
      <c r="Q209" s="52" t="str">
        <f t="shared" ref="Q209:Q213" si="152">F209&amp;" ("&amp;TEXT(F209/1000,"0.000")&amp;" secs)"</f>
        <v>22332 (22.332 secs)</v>
      </c>
      <c r="R209" s="52" t="str">
        <f t="shared" ref="R209:R213" si="153">G209&amp;" ("&amp;TEXT(G209/1000,"0.000")&amp;" secs)"</f>
        <v>22332 (22.332 secs)</v>
      </c>
      <c r="S209" s="52" t="str">
        <f t="shared" ref="S209:S213" si="154">H209&amp;" ("&amp;TEXT(H209/1000,"0.000")&amp;" secs)"</f>
        <v>13562 (13.562 secs)</v>
      </c>
      <c r="T209" s="52" t="str">
        <f t="shared" ref="T209:T213" si="155">I209&amp;" ("&amp;TEXT(I209/1000,"0.000")&amp;" secs)"</f>
        <v>22332 (22.332 secs)</v>
      </c>
      <c r="U209" s="71" t="s">
        <v>157</v>
      </c>
    </row>
    <row r="210" spans="1:21">
      <c r="A210" s="33" t="s">
        <v>38</v>
      </c>
      <c r="B210" s="34">
        <v>2</v>
      </c>
      <c r="C210" s="34">
        <v>121</v>
      </c>
      <c r="D210" s="34">
        <v>81</v>
      </c>
      <c r="E210" s="34">
        <v>162</v>
      </c>
      <c r="F210" s="34">
        <v>162</v>
      </c>
      <c r="G210" s="34">
        <v>162</v>
      </c>
      <c r="H210" s="34">
        <v>81</v>
      </c>
      <c r="I210" s="34">
        <v>162</v>
      </c>
      <c r="J210" s="35">
        <v>0</v>
      </c>
      <c r="K210" s="36">
        <v>12.26994</v>
      </c>
      <c r="L210" s="37">
        <v>117.22</v>
      </c>
      <c r="M210" s="34">
        <v>4.1100000000000003</v>
      </c>
      <c r="N210" s="52" t="str">
        <f t="shared" ref="N210:N213" si="156">C210&amp;" ("&amp;TEXT(C210/1000,"0.000")&amp;" secs)"</f>
        <v>121 (0.121 secs)</v>
      </c>
      <c r="O210" s="52" t="str">
        <f t="shared" ref="O210:O213" si="157">D210&amp;" ("&amp;TEXT(D210/1000,"0.000")&amp;" secs)"</f>
        <v>81 (0.081 secs)</v>
      </c>
      <c r="P210" s="52" t="str">
        <f t="shared" si="151"/>
        <v>162 (0.162 secs)</v>
      </c>
      <c r="Q210" s="52" t="str">
        <f t="shared" si="152"/>
        <v>162 (0.162 secs)</v>
      </c>
      <c r="R210" s="52" t="str">
        <f t="shared" si="153"/>
        <v>162 (0.162 secs)</v>
      </c>
      <c r="S210" s="52" t="str">
        <f t="shared" si="154"/>
        <v>81 (0.081 secs)</v>
      </c>
      <c r="T210" s="52" t="str">
        <f t="shared" si="155"/>
        <v>162 (0.162 secs)</v>
      </c>
      <c r="U210" s="71"/>
    </row>
    <row r="211" spans="1:21">
      <c r="A211" s="33" t="s">
        <v>39</v>
      </c>
      <c r="B211" s="34">
        <v>2</v>
      </c>
      <c r="C211" s="34">
        <v>40</v>
      </c>
      <c r="D211" s="34">
        <v>33</v>
      </c>
      <c r="E211" s="34">
        <v>48</v>
      </c>
      <c r="F211" s="34">
        <v>48</v>
      </c>
      <c r="G211" s="34">
        <v>48</v>
      </c>
      <c r="H211" s="34">
        <v>33</v>
      </c>
      <c r="I211" s="34">
        <v>48</v>
      </c>
      <c r="J211" s="35">
        <v>0</v>
      </c>
      <c r="K211" s="36">
        <v>41.666670000000003</v>
      </c>
      <c r="L211" s="37">
        <v>11.68</v>
      </c>
      <c r="M211" s="34">
        <v>15.67</v>
      </c>
      <c r="N211" s="52" t="str">
        <f t="shared" si="156"/>
        <v>40 (0.040 secs)</v>
      </c>
      <c r="O211" s="52" t="str">
        <f t="shared" si="157"/>
        <v>33 (0.033 secs)</v>
      </c>
      <c r="P211" s="52" t="str">
        <f t="shared" si="151"/>
        <v>48 (0.048 secs)</v>
      </c>
      <c r="Q211" s="52" t="str">
        <f t="shared" si="152"/>
        <v>48 (0.048 secs)</v>
      </c>
      <c r="R211" s="52" t="str">
        <f t="shared" si="153"/>
        <v>48 (0.048 secs)</v>
      </c>
      <c r="S211" s="52" t="str">
        <f t="shared" si="154"/>
        <v>33 (0.033 secs)</v>
      </c>
      <c r="T211" s="52" t="str">
        <f t="shared" si="155"/>
        <v>48 (0.048 secs)</v>
      </c>
      <c r="U211" s="71"/>
    </row>
    <row r="212" spans="1:21">
      <c r="A212" s="33" t="s">
        <v>40</v>
      </c>
      <c r="B212" s="34">
        <v>2</v>
      </c>
      <c r="C212" s="34">
        <v>36</v>
      </c>
      <c r="D212" s="34">
        <v>30</v>
      </c>
      <c r="E212" s="34">
        <v>43</v>
      </c>
      <c r="F212" s="34">
        <v>43</v>
      </c>
      <c r="G212" s="34">
        <v>43</v>
      </c>
      <c r="H212" s="34">
        <v>30</v>
      </c>
      <c r="I212" s="34">
        <v>43</v>
      </c>
      <c r="J212" s="35">
        <v>0</v>
      </c>
      <c r="K212" s="36">
        <v>46.511629999999997</v>
      </c>
      <c r="L212" s="37">
        <v>28.66</v>
      </c>
      <c r="M212" s="34">
        <v>16.760000000000002</v>
      </c>
      <c r="N212" s="52" t="str">
        <f t="shared" si="156"/>
        <v>36 (0.036 secs)</v>
      </c>
      <c r="O212" s="52" t="str">
        <f t="shared" si="157"/>
        <v>30 (0.030 secs)</v>
      </c>
      <c r="P212" s="52" t="str">
        <f t="shared" si="151"/>
        <v>43 (0.043 secs)</v>
      </c>
      <c r="Q212" s="52" t="str">
        <f t="shared" si="152"/>
        <v>43 (0.043 secs)</v>
      </c>
      <c r="R212" s="52" t="str">
        <f t="shared" si="153"/>
        <v>43 (0.043 secs)</v>
      </c>
      <c r="S212" s="52" t="str">
        <f t="shared" si="154"/>
        <v>30 (0.030 secs)</v>
      </c>
      <c r="T212" s="52" t="str">
        <f t="shared" si="155"/>
        <v>43 (0.043 secs)</v>
      </c>
      <c r="U212" s="71"/>
    </row>
    <row r="213" spans="1:21" ht="15" thickBot="1">
      <c r="A213" s="38" t="s">
        <v>128</v>
      </c>
      <c r="B213" s="39">
        <v>8</v>
      </c>
      <c r="C213" s="39">
        <v>4536</v>
      </c>
      <c r="D213" s="39">
        <v>48</v>
      </c>
      <c r="E213" s="39">
        <v>13562</v>
      </c>
      <c r="F213" s="39">
        <v>22332</v>
      </c>
      <c r="G213" s="39">
        <v>22332</v>
      </c>
      <c r="H213" s="39">
        <v>30</v>
      </c>
      <c r="I213" s="39">
        <v>22332</v>
      </c>
      <c r="J213" s="40">
        <v>0</v>
      </c>
      <c r="K213" s="41">
        <v>0.34898000000000001</v>
      </c>
      <c r="L213" s="42">
        <v>0.93</v>
      </c>
      <c r="M213" s="39">
        <v>0.13</v>
      </c>
      <c r="N213" s="57" t="str">
        <f t="shared" si="156"/>
        <v>4536 (4.536 secs)</v>
      </c>
      <c r="O213" s="53" t="str">
        <f t="shared" si="157"/>
        <v>48 (0.048 secs)</v>
      </c>
      <c r="P213" s="53" t="str">
        <f t="shared" si="151"/>
        <v>13562 (13.562 secs)</v>
      </c>
      <c r="Q213" s="53" t="str">
        <f t="shared" si="152"/>
        <v>22332 (22.332 secs)</v>
      </c>
      <c r="R213" s="53" t="str">
        <f t="shared" si="153"/>
        <v>22332 (22.332 secs)</v>
      </c>
      <c r="S213" s="53" t="str">
        <f t="shared" si="154"/>
        <v>30 (0.030 secs)</v>
      </c>
      <c r="T213" s="53" t="str">
        <f t="shared" si="155"/>
        <v>22332 (22.332 secs)</v>
      </c>
      <c r="U213" s="72"/>
    </row>
  </sheetData>
  <mergeCells count="1">
    <mergeCell ref="S1:T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7A092-20A8-4231-B88F-05BEF0535300}">
  <dimension ref="A1:AA222"/>
  <sheetViews>
    <sheetView zoomScale="80" zoomScaleNormal="80" workbookViewId="0">
      <pane ySplit="6" topLeftCell="A130" activePane="bottomLeft" state="frozen"/>
      <selection pane="bottomLeft" activeCell="N150" sqref="N150"/>
    </sheetView>
  </sheetViews>
  <sheetFormatPr defaultColWidth="8.85546875" defaultRowHeight="14.45"/>
  <cols>
    <col min="1" max="1" width="35.42578125" style="88" customWidth="1"/>
    <col min="2" max="2" width="14.5703125" style="87" customWidth="1"/>
    <col min="3" max="4" width="8" style="87" hidden="1" customWidth="1"/>
    <col min="5" max="7" width="8.42578125" style="87" hidden="1" customWidth="1"/>
    <col min="8" max="9" width="8" style="87" hidden="1" customWidth="1"/>
    <col min="10" max="10" width="13.140625" style="87" customWidth="1"/>
    <col min="11" max="11" width="16.140625" style="87" customWidth="1"/>
    <col min="12" max="12" width="16.42578125" style="87" customWidth="1"/>
    <col min="13" max="13" width="14.85546875" style="87" customWidth="1"/>
    <col min="14" max="14" width="23.140625" style="87" customWidth="1"/>
    <col min="15" max="15" width="20.85546875" style="87" customWidth="1"/>
    <col min="16" max="16" width="23.42578125" style="87" customWidth="1"/>
    <col min="17" max="17" width="19.42578125" style="87" customWidth="1"/>
    <col min="18" max="18" width="23.42578125" style="87" customWidth="1"/>
    <col min="19" max="19" width="22" style="87" customWidth="1"/>
    <col min="20" max="20" width="23.5703125" style="100" customWidth="1"/>
    <col min="21" max="21" width="54.42578125" style="88" customWidth="1"/>
    <col min="22" max="16384" width="8.85546875" style="88"/>
  </cols>
  <sheetData>
    <row r="1" spans="1:27">
      <c r="A1" s="84" t="s">
        <v>0</v>
      </c>
      <c r="B1" s="84" t="s">
        <v>100</v>
      </c>
      <c r="C1" s="85"/>
      <c r="D1" s="86"/>
      <c r="J1" s="84"/>
      <c r="O1" s="86"/>
      <c r="S1" s="175" t="s">
        <v>101</v>
      </c>
      <c r="T1" s="175"/>
      <c r="V1" s="87"/>
      <c r="W1" s="89"/>
      <c r="X1" s="90"/>
      <c r="AA1" s="91"/>
    </row>
    <row r="2" spans="1:27">
      <c r="A2" s="92" t="s">
        <v>2</v>
      </c>
      <c r="B2" s="93" t="s">
        <v>3</v>
      </c>
      <c r="C2" s="86"/>
      <c r="D2" s="86"/>
      <c r="N2" s="86"/>
      <c r="O2" s="86"/>
      <c r="S2" s="86" t="s">
        <v>102</v>
      </c>
      <c r="T2" s="86" t="s">
        <v>103</v>
      </c>
      <c r="V2" s="87"/>
      <c r="W2" s="87"/>
      <c r="X2" s="90"/>
      <c r="AA2" s="91"/>
    </row>
    <row r="3" spans="1:27">
      <c r="A3" s="92"/>
      <c r="B3" s="93" t="s">
        <v>104</v>
      </c>
      <c r="C3" s="86"/>
      <c r="D3" s="86"/>
      <c r="N3" s="86"/>
      <c r="O3" s="86"/>
      <c r="S3" s="86" t="s">
        <v>105</v>
      </c>
      <c r="T3" s="86" t="s">
        <v>106</v>
      </c>
      <c r="V3" s="87"/>
      <c r="W3" s="87"/>
      <c r="X3" s="90"/>
      <c r="AA3" s="91"/>
    </row>
    <row r="4" spans="1:27">
      <c r="A4" s="92" t="s">
        <v>5</v>
      </c>
      <c r="B4" s="93" t="s">
        <v>160</v>
      </c>
      <c r="C4" s="86"/>
      <c r="D4" s="86"/>
      <c r="L4" s="86"/>
      <c r="N4" s="86"/>
      <c r="O4" s="86"/>
      <c r="S4" s="86" t="s">
        <v>107</v>
      </c>
      <c r="T4" s="86" t="s">
        <v>108</v>
      </c>
      <c r="V4" s="87"/>
      <c r="W4" s="87"/>
      <c r="X4" s="90"/>
      <c r="AA4" s="91"/>
    </row>
    <row r="5" spans="1:27">
      <c r="A5" s="92" t="s">
        <v>7</v>
      </c>
      <c r="B5" s="93" t="s">
        <v>161</v>
      </c>
      <c r="C5" s="86"/>
      <c r="D5" s="86"/>
      <c r="L5" s="86"/>
      <c r="N5" s="86"/>
      <c r="O5" s="86"/>
      <c r="S5" s="86" t="s">
        <v>109</v>
      </c>
      <c r="T5" s="86" t="s">
        <v>110</v>
      </c>
      <c r="V5" s="87"/>
      <c r="W5" s="87"/>
      <c r="X5" s="90"/>
      <c r="AA5" s="91"/>
    </row>
    <row r="6" spans="1:27" ht="15" thickBot="1">
      <c r="A6" s="94" t="s">
        <v>9</v>
      </c>
      <c r="B6" s="95" t="s">
        <v>10</v>
      </c>
      <c r="C6" s="96"/>
      <c r="D6" s="96"/>
      <c r="E6" s="97"/>
      <c r="F6" s="97"/>
      <c r="G6" s="97"/>
      <c r="H6" s="97"/>
      <c r="I6" s="97"/>
      <c r="J6" s="97"/>
      <c r="K6" s="97"/>
      <c r="L6" s="97"/>
      <c r="M6" s="97"/>
      <c r="N6" s="96"/>
      <c r="O6" s="96"/>
      <c r="P6" s="97"/>
      <c r="Q6" s="97"/>
      <c r="R6" s="97"/>
      <c r="S6" s="98" t="s">
        <v>111</v>
      </c>
      <c r="T6" s="98" t="s">
        <v>112</v>
      </c>
      <c r="U6" s="99"/>
      <c r="V6" s="87"/>
      <c r="W6" s="87"/>
      <c r="X6" s="87"/>
    </row>
    <row r="7" spans="1:27">
      <c r="A7" s="101" t="s">
        <v>11</v>
      </c>
      <c r="B7" s="102" t="s">
        <v>12</v>
      </c>
      <c r="C7" s="103"/>
      <c r="D7" s="104"/>
      <c r="E7" s="105"/>
      <c r="F7" s="105"/>
      <c r="G7" s="105"/>
      <c r="H7" s="105"/>
      <c r="I7" s="105"/>
      <c r="J7" s="105"/>
      <c r="K7" s="105"/>
      <c r="V7" s="87"/>
      <c r="W7" s="87"/>
      <c r="X7" s="87"/>
    </row>
    <row r="8" spans="1:27">
      <c r="A8" s="106" t="s">
        <v>113</v>
      </c>
      <c r="B8" s="107" t="s">
        <v>162</v>
      </c>
      <c r="C8" s="104"/>
      <c r="D8" s="104"/>
      <c r="E8" s="105"/>
      <c r="F8" s="105"/>
      <c r="G8" s="105"/>
      <c r="H8" s="105"/>
      <c r="I8" s="105"/>
      <c r="J8" s="105"/>
      <c r="K8" s="105"/>
      <c r="V8" s="87"/>
      <c r="W8" s="87"/>
      <c r="X8" s="87"/>
    </row>
    <row r="9" spans="1:27">
      <c r="A9" s="92"/>
      <c r="B9" s="93"/>
      <c r="C9" s="86"/>
      <c r="D9" s="86"/>
      <c r="V9" s="87"/>
      <c r="W9" s="87"/>
      <c r="X9" s="87"/>
    </row>
    <row r="10" spans="1:27" s="111" customFormat="1">
      <c r="A10" s="108" t="s">
        <v>114</v>
      </c>
      <c r="B10" s="109" t="s">
        <v>115</v>
      </c>
      <c r="C10" s="109" t="s">
        <v>116</v>
      </c>
      <c r="D10" s="109" t="s">
        <v>117</v>
      </c>
      <c r="E10" s="109" t="s">
        <v>118</v>
      </c>
      <c r="F10" s="109" t="s">
        <v>119</v>
      </c>
      <c r="G10" s="109" t="s">
        <v>120</v>
      </c>
      <c r="H10" s="109" t="s">
        <v>121</v>
      </c>
      <c r="I10" s="109" t="s">
        <v>122</v>
      </c>
      <c r="J10" s="109" t="s">
        <v>123</v>
      </c>
      <c r="K10" s="109" t="s">
        <v>124</v>
      </c>
      <c r="L10" s="109" t="s">
        <v>125</v>
      </c>
      <c r="M10" s="109" t="s">
        <v>126</v>
      </c>
      <c r="N10" s="109" t="s">
        <v>116</v>
      </c>
      <c r="O10" s="109" t="s">
        <v>117</v>
      </c>
      <c r="P10" s="109" t="s">
        <v>118</v>
      </c>
      <c r="Q10" s="109" t="s">
        <v>119</v>
      </c>
      <c r="R10" s="109" t="s">
        <v>120</v>
      </c>
      <c r="S10" s="109" t="s">
        <v>121</v>
      </c>
      <c r="T10" s="109" t="s">
        <v>122</v>
      </c>
      <c r="U10" s="110" t="s">
        <v>127</v>
      </c>
    </row>
    <row r="11" spans="1:27">
      <c r="A11" s="112" t="s">
        <v>33</v>
      </c>
      <c r="B11" s="113">
        <v>1</v>
      </c>
      <c r="C11" s="113">
        <v>344</v>
      </c>
      <c r="D11" s="113">
        <v>344</v>
      </c>
      <c r="E11" s="113">
        <v>344</v>
      </c>
      <c r="F11" s="113">
        <v>344</v>
      </c>
      <c r="G11" s="113">
        <v>344</v>
      </c>
      <c r="H11" s="113">
        <v>344</v>
      </c>
      <c r="I11" s="113">
        <v>344</v>
      </c>
      <c r="J11" s="69">
        <v>0</v>
      </c>
      <c r="K11" s="52">
        <v>2.9069799999999999</v>
      </c>
      <c r="L11" s="114">
        <v>0.59</v>
      </c>
      <c r="M11" s="113">
        <v>1.28</v>
      </c>
      <c r="N11" s="52" t="str">
        <f>C11&amp;" ("&amp;TEXT(C11/1000,"0.000")&amp;" secs)"</f>
        <v>344 (0.344 secs)</v>
      </c>
      <c r="O11" s="52" t="str">
        <f>D11&amp;" ("&amp;TEXT(D11/1000,"0.000")&amp;" secs)"</f>
        <v>344 (0.344 secs)</v>
      </c>
      <c r="P11" s="52" t="str">
        <f t="shared" ref="P11:T15" si="0">E11&amp;" ("&amp;TEXT(E11/1000,"0.000")&amp;" secs)"</f>
        <v>344 (0.344 secs)</v>
      </c>
      <c r="Q11" s="52" t="str">
        <f t="shared" si="0"/>
        <v>344 (0.344 secs)</v>
      </c>
      <c r="R11" s="52" t="str">
        <f t="shared" si="0"/>
        <v>344 (0.344 secs)</v>
      </c>
      <c r="S11" s="52" t="str">
        <f t="shared" si="0"/>
        <v>344 (0.344 secs)</v>
      </c>
      <c r="T11" s="52" t="str">
        <f t="shared" si="0"/>
        <v>344 (0.344 secs)</v>
      </c>
      <c r="U11" s="115"/>
    </row>
    <row r="12" spans="1:27">
      <c r="A12" s="112" t="s">
        <v>38</v>
      </c>
      <c r="B12" s="113">
        <v>1</v>
      </c>
      <c r="C12" s="113">
        <v>29</v>
      </c>
      <c r="D12" s="113">
        <v>29</v>
      </c>
      <c r="E12" s="113">
        <v>29</v>
      </c>
      <c r="F12" s="113">
        <v>29</v>
      </c>
      <c r="G12" s="113">
        <v>29</v>
      </c>
      <c r="H12" s="113">
        <v>29</v>
      </c>
      <c r="I12" s="113">
        <v>29</v>
      </c>
      <c r="J12" s="69">
        <v>0</v>
      </c>
      <c r="K12" s="52">
        <v>34.482759999999999</v>
      </c>
      <c r="L12" s="114">
        <v>231.14</v>
      </c>
      <c r="M12" s="113">
        <v>11.58</v>
      </c>
      <c r="N12" s="52" t="str">
        <f t="shared" ref="N12:O15" si="1">C12&amp;" ("&amp;TEXT(C12/1000,"0.000")&amp;" secs)"</f>
        <v>29 (0.029 secs)</v>
      </c>
      <c r="O12" s="52" t="str">
        <f t="shared" si="1"/>
        <v>29 (0.029 secs)</v>
      </c>
      <c r="P12" s="52" t="str">
        <f t="shared" si="0"/>
        <v>29 (0.029 secs)</v>
      </c>
      <c r="Q12" s="52" t="str">
        <f t="shared" si="0"/>
        <v>29 (0.029 secs)</v>
      </c>
      <c r="R12" s="52" t="str">
        <f t="shared" si="0"/>
        <v>29 (0.029 secs)</v>
      </c>
      <c r="S12" s="52" t="str">
        <f t="shared" si="0"/>
        <v>29 (0.029 secs)</v>
      </c>
      <c r="T12" s="52" t="str">
        <f t="shared" si="0"/>
        <v>29 (0.029 secs)</v>
      </c>
      <c r="U12" s="115"/>
    </row>
    <row r="13" spans="1:27">
      <c r="A13" s="112" t="s">
        <v>39</v>
      </c>
      <c r="B13" s="113">
        <v>1</v>
      </c>
      <c r="C13" s="113">
        <v>15</v>
      </c>
      <c r="D13" s="113">
        <v>15</v>
      </c>
      <c r="E13" s="113">
        <v>15</v>
      </c>
      <c r="F13" s="113">
        <v>15</v>
      </c>
      <c r="G13" s="113">
        <v>15</v>
      </c>
      <c r="H13" s="113">
        <v>15</v>
      </c>
      <c r="I13" s="113">
        <v>15</v>
      </c>
      <c r="J13" s="69">
        <v>0</v>
      </c>
      <c r="K13" s="52">
        <v>66.666669999999996</v>
      </c>
      <c r="L13" s="114">
        <v>15.95</v>
      </c>
      <c r="M13" s="113">
        <v>25.13</v>
      </c>
      <c r="N13" s="52" t="str">
        <f t="shared" si="1"/>
        <v>15 (0.015 secs)</v>
      </c>
      <c r="O13" s="52" t="str">
        <f t="shared" si="1"/>
        <v>15 (0.015 secs)</v>
      </c>
      <c r="P13" s="52" t="str">
        <f t="shared" si="0"/>
        <v>15 (0.015 secs)</v>
      </c>
      <c r="Q13" s="52" t="str">
        <f t="shared" si="0"/>
        <v>15 (0.015 secs)</v>
      </c>
      <c r="R13" s="52" t="str">
        <f t="shared" si="0"/>
        <v>15 (0.015 secs)</v>
      </c>
      <c r="S13" s="52" t="str">
        <f t="shared" si="0"/>
        <v>15 (0.015 secs)</v>
      </c>
      <c r="T13" s="52" t="str">
        <f t="shared" si="0"/>
        <v>15 (0.015 secs)</v>
      </c>
      <c r="U13" s="115"/>
    </row>
    <row r="14" spans="1:27">
      <c r="A14" s="112" t="s">
        <v>40</v>
      </c>
      <c r="B14" s="113">
        <v>1</v>
      </c>
      <c r="C14" s="113">
        <v>13</v>
      </c>
      <c r="D14" s="113">
        <v>13</v>
      </c>
      <c r="E14" s="113">
        <v>13</v>
      </c>
      <c r="F14" s="113">
        <v>13</v>
      </c>
      <c r="G14" s="113">
        <v>13</v>
      </c>
      <c r="H14" s="113">
        <v>13</v>
      </c>
      <c r="I14" s="113">
        <v>13</v>
      </c>
      <c r="J14" s="69">
        <v>0</v>
      </c>
      <c r="K14" s="52">
        <v>76.923079999999999</v>
      </c>
      <c r="L14" s="114">
        <v>28.92</v>
      </c>
      <c r="M14" s="113">
        <v>27.79</v>
      </c>
      <c r="N14" s="52" t="str">
        <f t="shared" si="1"/>
        <v>13 (0.013 secs)</v>
      </c>
      <c r="O14" s="52" t="str">
        <f t="shared" si="1"/>
        <v>13 (0.013 secs)</v>
      </c>
      <c r="P14" s="52" t="str">
        <f t="shared" si="0"/>
        <v>13 (0.013 secs)</v>
      </c>
      <c r="Q14" s="52" t="str">
        <f t="shared" si="0"/>
        <v>13 (0.013 secs)</v>
      </c>
      <c r="R14" s="52" t="str">
        <f t="shared" si="0"/>
        <v>13 (0.013 secs)</v>
      </c>
      <c r="S14" s="52" t="str">
        <f t="shared" si="0"/>
        <v>13 (0.013 secs)</v>
      </c>
      <c r="T14" s="52" t="str">
        <f t="shared" si="0"/>
        <v>13 (0.013 secs)</v>
      </c>
      <c r="U14" s="115"/>
    </row>
    <row r="15" spans="1:27" ht="15" thickBot="1">
      <c r="A15" s="116" t="s">
        <v>128</v>
      </c>
      <c r="B15" s="117">
        <v>4</v>
      </c>
      <c r="C15" s="117">
        <v>100</v>
      </c>
      <c r="D15" s="117">
        <v>15</v>
      </c>
      <c r="E15" s="117">
        <v>344</v>
      </c>
      <c r="F15" s="117">
        <v>344</v>
      </c>
      <c r="G15" s="117">
        <v>344</v>
      </c>
      <c r="H15" s="117">
        <v>13</v>
      </c>
      <c r="I15" s="117">
        <v>344</v>
      </c>
      <c r="J15" s="79">
        <v>0</v>
      </c>
      <c r="K15" s="53">
        <v>7.18133</v>
      </c>
      <c r="L15" s="118">
        <v>13.5</v>
      </c>
      <c r="M15" s="117">
        <v>2.72</v>
      </c>
      <c r="N15" s="53" t="str">
        <f t="shared" si="1"/>
        <v>100 (0.100 secs)</v>
      </c>
      <c r="O15" s="53" t="str">
        <f t="shared" si="1"/>
        <v>15 (0.015 secs)</v>
      </c>
      <c r="P15" s="53" t="str">
        <f t="shared" si="0"/>
        <v>344 (0.344 secs)</v>
      </c>
      <c r="Q15" s="53" t="str">
        <f t="shared" si="0"/>
        <v>344 (0.344 secs)</v>
      </c>
      <c r="R15" s="53" t="str">
        <f t="shared" si="0"/>
        <v>344 (0.344 secs)</v>
      </c>
      <c r="S15" s="53" t="str">
        <f t="shared" si="0"/>
        <v>13 (0.013 secs)</v>
      </c>
      <c r="T15" s="53" t="str">
        <f t="shared" si="0"/>
        <v>344 (0.344 secs)</v>
      </c>
      <c r="U15" s="119"/>
    </row>
    <row r="16" spans="1:27">
      <c r="J16" s="120"/>
      <c r="N16" s="121"/>
    </row>
    <row r="17" spans="1:21" hidden="1">
      <c r="A17" s="106" t="s">
        <v>13</v>
      </c>
      <c r="B17" s="107" t="s">
        <v>129</v>
      </c>
      <c r="C17" s="104"/>
      <c r="D17" s="104"/>
      <c r="E17" s="105"/>
      <c r="F17" s="105"/>
      <c r="N17" s="121" t="str">
        <f t="shared" ref="N17:N33" si="2">C17&amp;" ("&amp;TEXT(C17/60000,"0.000")&amp;" mins)"</f>
        <v xml:space="preserve"> (0.000 mins)</v>
      </c>
      <c r="O17" s="104"/>
      <c r="P17" s="104"/>
      <c r="Q17" s="104"/>
      <c r="R17" s="104"/>
      <c r="S17" s="104"/>
      <c r="T17" s="122"/>
    </row>
    <row r="18" spans="1:21" hidden="1">
      <c r="A18" s="123" t="s">
        <v>130</v>
      </c>
      <c r="B18" s="124" t="s">
        <v>131</v>
      </c>
      <c r="C18" s="125"/>
      <c r="D18" s="125"/>
      <c r="E18" s="126"/>
      <c r="F18" s="126"/>
      <c r="N18" s="121" t="str">
        <f t="shared" si="2"/>
        <v xml:space="preserve"> (0.000 mins)</v>
      </c>
      <c r="O18" s="125"/>
      <c r="P18" s="125"/>
      <c r="Q18" s="125"/>
      <c r="R18" s="125"/>
      <c r="S18" s="125"/>
      <c r="T18" s="127"/>
    </row>
    <row r="19" spans="1:21" hidden="1">
      <c r="A19" s="106" t="s">
        <v>127</v>
      </c>
      <c r="B19" s="128"/>
      <c r="C19" s="105"/>
      <c r="D19" s="104"/>
      <c r="E19" s="105"/>
      <c r="F19" s="105"/>
      <c r="N19" s="121" t="str">
        <f t="shared" si="2"/>
        <v xml:space="preserve"> (0.000 mins)</v>
      </c>
      <c r="O19" s="104"/>
      <c r="P19" s="104"/>
      <c r="Q19" s="104"/>
      <c r="R19" s="104"/>
      <c r="S19" s="104"/>
      <c r="T19" s="122"/>
    </row>
    <row r="20" spans="1:21" hidden="1">
      <c r="A20" s="92"/>
      <c r="B20" s="129"/>
      <c r="D20" s="86"/>
      <c r="N20" s="121" t="str">
        <f t="shared" si="2"/>
        <v xml:space="preserve"> (0.000 mins)</v>
      </c>
      <c r="O20" s="86"/>
      <c r="P20" s="86"/>
      <c r="Q20" s="86"/>
      <c r="R20" s="86"/>
      <c r="S20" s="86"/>
      <c r="T20" s="130"/>
    </row>
    <row r="21" spans="1:21" hidden="1">
      <c r="A21" s="108" t="s">
        <v>114</v>
      </c>
      <c r="B21" s="109" t="s">
        <v>115</v>
      </c>
      <c r="C21" s="109" t="s">
        <v>116</v>
      </c>
      <c r="D21" s="109" t="s">
        <v>117</v>
      </c>
      <c r="E21" s="109" t="s">
        <v>118</v>
      </c>
      <c r="F21" s="109" t="s">
        <v>119</v>
      </c>
      <c r="G21" s="109" t="s">
        <v>120</v>
      </c>
      <c r="H21" s="109" t="s">
        <v>121</v>
      </c>
      <c r="I21" s="109" t="s">
        <v>122</v>
      </c>
      <c r="J21" s="109" t="s">
        <v>123</v>
      </c>
      <c r="K21" s="109" t="s">
        <v>124</v>
      </c>
      <c r="L21" s="109" t="s">
        <v>125</v>
      </c>
      <c r="M21" s="109" t="s">
        <v>126</v>
      </c>
      <c r="N21" s="121" t="e">
        <f t="shared" si="2"/>
        <v>#VALUE!</v>
      </c>
      <c r="O21" s="109"/>
      <c r="P21" s="109"/>
      <c r="Q21" s="109"/>
      <c r="R21" s="109"/>
      <c r="S21" s="109"/>
      <c r="T21" s="109"/>
      <c r="U21" s="110" t="s">
        <v>127</v>
      </c>
    </row>
    <row r="22" spans="1:21" hidden="1">
      <c r="A22" s="112" t="s">
        <v>132</v>
      </c>
      <c r="B22" s="113">
        <v>1</v>
      </c>
      <c r="C22" s="113">
        <v>99170</v>
      </c>
      <c r="D22" s="113">
        <v>99170</v>
      </c>
      <c r="E22" s="113">
        <v>99170</v>
      </c>
      <c r="F22" s="113">
        <v>99170</v>
      </c>
      <c r="G22" s="113">
        <v>99170</v>
      </c>
      <c r="H22" s="113">
        <v>99170</v>
      </c>
      <c r="I22" s="113">
        <v>99170</v>
      </c>
      <c r="J22" s="69">
        <v>0</v>
      </c>
      <c r="K22" s="52">
        <v>1.00836946657255E-2</v>
      </c>
      <c r="L22" s="114">
        <v>6022.4525180088403</v>
      </c>
      <c r="M22" s="52">
        <v>1.84145595946354E-3</v>
      </c>
      <c r="N22" s="121" t="str">
        <f t="shared" si="2"/>
        <v>99170 (1.653 mins)</v>
      </c>
      <c r="O22" s="113"/>
      <c r="P22" s="113"/>
      <c r="Q22" s="113"/>
      <c r="R22" s="113"/>
      <c r="S22" s="113"/>
      <c r="T22" s="113"/>
      <c r="U22" s="115"/>
    </row>
    <row r="23" spans="1:21" hidden="1">
      <c r="A23" s="112" t="s">
        <v>133</v>
      </c>
      <c r="B23" s="113">
        <v>1</v>
      </c>
      <c r="C23" s="113">
        <v>9302</v>
      </c>
      <c r="D23" s="113">
        <v>9302</v>
      </c>
      <c r="E23" s="113">
        <v>9302</v>
      </c>
      <c r="F23" s="113">
        <v>9302</v>
      </c>
      <c r="G23" s="113">
        <v>9302</v>
      </c>
      <c r="H23" s="113">
        <v>9302</v>
      </c>
      <c r="I23" s="113">
        <v>9302</v>
      </c>
      <c r="J23" s="69">
        <v>0</v>
      </c>
      <c r="K23" s="52">
        <v>0.10750376263169199</v>
      </c>
      <c r="L23" s="114">
        <v>4471.2378092412901</v>
      </c>
      <c r="M23" s="52">
        <v>1.9317082347882101E-2</v>
      </c>
      <c r="N23" s="121" t="str">
        <f t="shared" si="2"/>
        <v>9302 (0.155 mins)</v>
      </c>
      <c r="O23" s="113"/>
      <c r="P23" s="113"/>
      <c r="Q23" s="113"/>
      <c r="R23" s="113"/>
      <c r="S23" s="113"/>
      <c r="T23" s="113"/>
      <c r="U23" s="115"/>
    </row>
    <row r="24" spans="1:21" hidden="1">
      <c r="A24" s="112" t="s">
        <v>134</v>
      </c>
      <c r="B24" s="113">
        <v>1</v>
      </c>
      <c r="C24" s="113">
        <v>5681</v>
      </c>
      <c r="D24" s="113">
        <v>5681</v>
      </c>
      <c r="E24" s="113">
        <v>5681</v>
      </c>
      <c r="F24" s="113">
        <v>5681</v>
      </c>
      <c r="G24" s="113">
        <v>5681</v>
      </c>
      <c r="H24" s="113">
        <v>5681</v>
      </c>
      <c r="I24" s="113">
        <v>5681</v>
      </c>
      <c r="J24" s="69">
        <v>0</v>
      </c>
      <c r="K24" s="52">
        <v>0.176025347650061</v>
      </c>
      <c r="L24" s="114">
        <v>5940.9173671008602</v>
      </c>
      <c r="M24" s="52">
        <v>3.0598156134483301E-2</v>
      </c>
      <c r="N24" s="121" t="str">
        <f t="shared" si="2"/>
        <v>5681 (0.095 mins)</v>
      </c>
      <c r="O24" s="113"/>
      <c r="P24" s="113"/>
      <c r="Q24" s="113"/>
      <c r="R24" s="113"/>
      <c r="S24" s="113"/>
      <c r="T24" s="113"/>
      <c r="U24" s="115"/>
    </row>
    <row r="25" spans="1:21" hidden="1">
      <c r="A25" s="112" t="s">
        <v>135</v>
      </c>
      <c r="B25" s="113">
        <v>1</v>
      </c>
      <c r="C25" s="113">
        <v>1163855</v>
      </c>
      <c r="D25" s="113">
        <v>1163855</v>
      </c>
      <c r="E25" s="113">
        <v>1163855</v>
      </c>
      <c r="F25" s="113">
        <v>1163855</v>
      </c>
      <c r="G25" s="113">
        <v>1163855</v>
      </c>
      <c r="H25" s="113">
        <v>1163855</v>
      </c>
      <c r="I25" s="113">
        <v>1163855</v>
      </c>
      <c r="J25" s="69">
        <v>0</v>
      </c>
      <c r="K25" s="52">
        <v>8.5921356182685896E-4</v>
      </c>
      <c r="L25" s="114">
        <v>5952.11807973958</v>
      </c>
      <c r="M25" s="52">
        <v>1.5774623986665001E-4</v>
      </c>
      <c r="N25" s="121" t="str">
        <f t="shared" si="2"/>
        <v>1163855 (19.398 mins)</v>
      </c>
      <c r="O25" s="113"/>
      <c r="P25" s="113"/>
      <c r="Q25" s="113"/>
      <c r="R25" s="113"/>
      <c r="S25" s="113"/>
      <c r="T25" s="113"/>
      <c r="U25" s="115"/>
    </row>
    <row r="26" spans="1:21" hidden="1">
      <c r="A26" s="112" t="s">
        <v>136</v>
      </c>
      <c r="B26" s="113">
        <v>1</v>
      </c>
      <c r="C26" s="113">
        <v>7726</v>
      </c>
      <c r="D26" s="113">
        <v>7726</v>
      </c>
      <c r="E26" s="113">
        <v>7726</v>
      </c>
      <c r="F26" s="113">
        <v>7726</v>
      </c>
      <c r="G26" s="113">
        <v>7726</v>
      </c>
      <c r="H26" s="113">
        <v>7726</v>
      </c>
      <c r="I26" s="113">
        <v>7726</v>
      </c>
      <c r="J26" s="69">
        <v>0</v>
      </c>
      <c r="K26" s="52">
        <v>0.12943308309603899</v>
      </c>
      <c r="L26" s="114">
        <v>3778.7647331251601</v>
      </c>
      <c r="M26" s="52">
        <v>2.32575071188195E-2</v>
      </c>
      <c r="N26" s="121" t="str">
        <f t="shared" si="2"/>
        <v>7726 (0.129 mins)</v>
      </c>
      <c r="O26" s="113"/>
      <c r="P26" s="113"/>
      <c r="Q26" s="113"/>
      <c r="R26" s="113"/>
      <c r="S26" s="113"/>
      <c r="T26" s="113"/>
      <c r="U26" s="115"/>
    </row>
    <row r="27" spans="1:21" hidden="1">
      <c r="A27" s="112" t="s">
        <v>137</v>
      </c>
      <c r="B27" s="113">
        <v>1</v>
      </c>
      <c r="C27" s="113">
        <v>14660</v>
      </c>
      <c r="D27" s="113">
        <v>14660</v>
      </c>
      <c r="E27" s="113">
        <v>14660</v>
      </c>
      <c r="F27" s="113">
        <v>14660</v>
      </c>
      <c r="G27" s="113">
        <v>14660</v>
      </c>
      <c r="H27" s="113">
        <v>14660</v>
      </c>
      <c r="I27" s="113">
        <v>14660</v>
      </c>
      <c r="J27" s="69">
        <v>0</v>
      </c>
      <c r="K27" s="52">
        <v>6.8212824010913997E-2</v>
      </c>
      <c r="L27" s="114">
        <v>6083.4467327123102</v>
      </c>
      <c r="M27" s="52">
        <v>1.25234481582537E-2</v>
      </c>
      <c r="N27" s="121" t="str">
        <f t="shared" si="2"/>
        <v>14660 (0.244 mins)</v>
      </c>
      <c r="O27" s="113"/>
      <c r="P27" s="113"/>
      <c r="Q27" s="113"/>
      <c r="R27" s="113"/>
      <c r="S27" s="113"/>
      <c r="T27" s="113"/>
      <c r="U27" s="115"/>
    </row>
    <row r="28" spans="1:21" hidden="1">
      <c r="A28" s="112" t="s">
        <v>138</v>
      </c>
      <c r="B28" s="113">
        <v>1</v>
      </c>
      <c r="C28" s="113">
        <v>310</v>
      </c>
      <c r="D28" s="113">
        <v>310</v>
      </c>
      <c r="E28" s="113">
        <v>310</v>
      </c>
      <c r="F28" s="113">
        <v>310</v>
      </c>
      <c r="G28" s="113">
        <v>310</v>
      </c>
      <c r="H28" s="113">
        <v>310</v>
      </c>
      <c r="I28" s="113">
        <v>310</v>
      </c>
      <c r="J28" s="69">
        <v>0</v>
      </c>
      <c r="K28" s="52">
        <v>3.2258064516128999</v>
      </c>
      <c r="L28" s="114">
        <v>3144.6793094758</v>
      </c>
      <c r="M28" s="52">
        <v>0.5859375</v>
      </c>
      <c r="N28" s="121" t="str">
        <f t="shared" si="2"/>
        <v>310 (0.005 mins)</v>
      </c>
      <c r="O28" s="113"/>
      <c r="P28" s="113"/>
      <c r="Q28" s="113"/>
      <c r="R28" s="113"/>
      <c r="S28" s="113"/>
      <c r="T28" s="113"/>
      <c r="U28" s="115"/>
    </row>
    <row r="29" spans="1:21" hidden="1">
      <c r="A29" s="112" t="s">
        <v>139</v>
      </c>
      <c r="B29" s="113">
        <v>1</v>
      </c>
      <c r="C29" s="113">
        <v>1964</v>
      </c>
      <c r="D29" s="113">
        <v>1964</v>
      </c>
      <c r="E29" s="113">
        <v>1964</v>
      </c>
      <c r="F29" s="113">
        <v>1964</v>
      </c>
      <c r="G29" s="113">
        <v>1964</v>
      </c>
      <c r="H29" s="113">
        <v>1964</v>
      </c>
      <c r="I29" s="113">
        <v>1964</v>
      </c>
      <c r="J29" s="69">
        <v>0</v>
      </c>
      <c r="K29" s="52">
        <v>0.50916496945010103</v>
      </c>
      <c r="L29" s="114">
        <v>5840.2544631491801</v>
      </c>
      <c r="M29" s="52">
        <v>9.2982274694501002E-2</v>
      </c>
      <c r="N29" s="121" t="str">
        <f t="shared" si="2"/>
        <v>1964 (0.033 mins)</v>
      </c>
      <c r="O29" s="113"/>
      <c r="P29" s="113"/>
      <c r="Q29" s="113"/>
      <c r="R29" s="113"/>
      <c r="S29" s="113"/>
      <c r="T29" s="113"/>
      <c r="U29" s="115"/>
    </row>
    <row r="30" spans="1:21" hidden="1">
      <c r="A30" s="112" t="s">
        <v>140</v>
      </c>
      <c r="B30" s="113">
        <v>1</v>
      </c>
      <c r="C30" s="113">
        <v>1970</v>
      </c>
      <c r="D30" s="113">
        <v>1970</v>
      </c>
      <c r="E30" s="113">
        <v>1970</v>
      </c>
      <c r="F30" s="113">
        <v>1970</v>
      </c>
      <c r="G30" s="113">
        <v>1970</v>
      </c>
      <c r="H30" s="113">
        <v>1970</v>
      </c>
      <c r="I30" s="113">
        <v>1970</v>
      </c>
      <c r="J30" s="69">
        <v>0</v>
      </c>
      <c r="K30" s="52">
        <v>0.50761421319796896</v>
      </c>
      <c r="L30" s="114">
        <v>5841.9108899111598</v>
      </c>
      <c r="M30" s="52">
        <v>9.1707645939086299E-2</v>
      </c>
      <c r="N30" s="121" t="str">
        <f t="shared" si="2"/>
        <v>1970 (0.033 mins)</v>
      </c>
      <c r="O30" s="113"/>
      <c r="P30" s="113"/>
      <c r="Q30" s="113"/>
      <c r="R30" s="113"/>
      <c r="S30" s="113"/>
      <c r="T30" s="113"/>
      <c r="U30" s="115"/>
    </row>
    <row r="31" spans="1:21" hidden="1">
      <c r="A31" s="112" t="s">
        <v>141</v>
      </c>
      <c r="B31" s="113">
        <v>1</v>
      </c>
      <c r="C31" s="113">
        <v>269</v>
      </c>
      <c r="D31" s="113">
        <v>269</v>
      </c>
      <c r="E31" s="113">
        <v>269</v>
      </c>
      <c r="F31" s="113">
        <v>269</v>
      </c>
      <c r="G31" s="113">
        <v>269</v>
      </c>
      <c r="H31" s="113">
        <v>269</v>
      </c>
      <c r="I31" s="113">
        <v>269</v>
      </c>
      <c r="J31" s="69">
        <v>0</v>
      </c>
      <c r="K31" s="52">
        <v>3.7174721189590998</v>
      </c>
      <c r="L31" s="114">
        <v>227.24500464683999</v>
      </c>
      <c r="M31" s="52">
        <v>0.67161361524163499</v>
      </c>
      <c r="N31" s="121" t="str">
        <f t="shared" si="2"/>
        <v>269 (0.004 mins)</v>
      </c>
      <c r="O31" s="113"/>
      <c r="P31" s="113"/>
      <c r="Q31" s="113"/>
      <c r="R31" s="113"/>
      <c r="S31" s="113"/>
      <c r="T31" s="113"/>
      <c r="U31" s="115"/>
    </row>
    <row r="32" spans="1:21" ht="15" hidden="1" thickBot="1">
      <c r="A32" s="116" t="s">
        <v>128</v>
      </c>
      <c r="B32" s="117">
        <v>10</v>
      </c>
      <c r="C32" s="117">
        <v>130490</v>
      </c>
      <c r="D32" s="117">
        <v>5681</v>
      </c>
      <c r="E32" s="117">
        <v>99170</v>
      </c>
      <c r="F32" s="117">
        <v>99170</v>
      </c>
      <c r="G32" s="117">
        <v>1163855</v>
      </c>
      <c r="H32" s="117">
        <v>269</v>
      </c>
      <c r="I32" s="117">
        <v>1163855</v>
      </c>
      <c r="J32" s="79">
        <v>0</v>
      </c>
      <c r="K32" s="53">
        <v>7.6214342167337697E-3</v>
      </c>
      <c r="L32" s="118">
        <v>5900.80678880086</v>
      </c>
      <c r="M32" s="53">
        <v>1.3784078290420801E-3</v>
      </c>
      <c r="N32" s="121" t="str">
        <f t="shared" si="2"/>
        <v>130490 (2.175 mins)</v>
      </c>
      <c r="O32" s="117"/>
      <c r="P32" s="117"/>
      <c r="Q32" s="117"/>
      <c r="R32" s="117"/>
      <c r="S32" s="117"/>
      <c r="T32" s="117"/>
      <c r="U32" s="119"/>
    </row>
    <row r="33" spans="1:21" hidden="1">
      <c r="A33" s="131"/>
      <c r="B33" s="131"/>
      <c r="C33" s="131"/>
      <c r="D33" s="131"/>
      <c r="E33" s="131"/>
      <c r="F33" s="131"/>
      <c r="G33" s="131"/>
      <c r="H33" s="131"/>
      <c r="I33" s="131"/>
      <c r="J33" s="131"/>
      <c r="K33" s="131"/>
      <c r="L33" s="131"/>
      <c r="M33" s="131"/>
      <c r="N33" s="121" t="str">
        <f t="shared" si="2"/>
        <v xml:space="preserve"> (0.000 mins)</v>
      </c>
      <c r="O33" s="131"/>
      <c r="P33" s="131"/>
      <c r="Q33" s="131"/>
      <c r="R33" s="131"/>
      <c r="S33" s="131"/>
      <c r="T33" s="132"/>
      <c r="U33" s="133"/>
    </row>
    <row r="34" spans="1:21">
      <c r="A34" s="101" t="s">
        <v>41</v>
      </c>
      <c r="B34" s="102" t="s">
        <v>42</v>
      </c>
      <c r="C34" s="105"/>
      <c r="D34" s="104"/>
      <c r="E34" s="105"/>
      <c r="F34" s="105"/>
      <c r="G34" s="105"/>
      <c r="H34" s="105"/>
      <c r="I34" s="105"/>
      <c r="J34" s="105"/>
      <c r="K34" s="105"/>
      <c r="N34" s="121"/>
      <c r="O34" s="86"/>
      <c r="P34" s="86"/>
      <c r="Q34" s="86"/>
      <c r="R34" s="86"/>
      <c r="S34" s="86"/>
      <c r="T34" s="130"/>
    </row>
    <row r="35" spans="1:21">
      <c r="A35" s="134" t="s">
        <v>13</v>
      </c>
      <c r="B35" s="107" t="s">
        <v>163</v>
      </c>
      <c r="C35" s="104"/>
      <c r="D35" s="104"/>
      <c r="E35" s="105"/>
      <c r="F35" s="105"/>
      <c r="G35" s="105"/>
      <c r="H35" s="105"/>
      <c r="I35" s="105"/>
      <c r="J35" s="105"/>
      <c r="K35" s="105"/>
      <c r="N35" s="121"/>
      <c r="O35" s="86"/>
      <c r="P35" s="86"/>
      <c r="Q35" s="86"/>
      <c r="R35" s="86"/>
      <c r="S35" s="86"/>
      <c r="T35" s="130"/>
    </row>
    <row r="36" spans="1:21">
      <c r="A36" s="135"/>
      <c r="B36" s="129"/>
      <c r="D36" s="86"/>
      <c r="N36" s="121"/>
      <c r="O36" s="86"/>
      <c r="P36" s="86"/>
      <c r="Q36" s="86"/>
      <c r="R36" s="86"/>
      <c r="S36" s="86"/>
      <c r="T36" s="130"/>
    </row>
    <row r="37" spans="1:21">
      <c r="A37" s="108" t="s">
        <v>114</v>
      </c>
      <c r="B37" s="109" t="s">
        <v>115</v>
      </c>
      <c r="C37" s="109" t="s">
        <v>116</v>
      </c>
      <c r="D37" s="109" t="s">
        <v>117</v>
      </c>
      <c r="E37" s="109" t="s">
        <v>118</v>
      </c>
      <c r="F37" s="109" t="s">
        <v>119</v>
      </c>
      <c r="G37" s="109" t="s">
        <v>120</v>
      </c>
      <c r="H37" s="109" t="s">
        <v>121</v>
      </c>
      <c r="I37" s="109" t="s">
        <v>122</v>
      </c>
      <c r="J37" s="109" t="s">
        <v>123</v>
      </c>
      <c r="K37" s="109" t="s">
        <v>143</v>
      </c>
      <c r="L37" s="109" t="s">
        <v>125</v>
      </c>
      <c r="M37" s="109" t="s">
        <v>126</v>
      </c>
      <c r="N37" s="109" t="s">
        <v>116</v>
      </c>
      <c r="O37" s="109" t="s">
        <v>117</v>
      </c>
      <c r="P37" s="109" t="s">
        <v>118</v>
      </c>
      <c r="Q37" s="109" t="s">
        <v>119</v>
      </c>
      <c r="R37" s="109" t="s">
        <v>120</v>
      </c>
      <c r="S37" s="109" t="s">
        <v>121</v>
      </c>
      <c r="T37" s="109" t="s">
        <v>122</v>
      </c>
      <c r="U37" s="110" t="s">
        <v>127</v>
      </c>
    </row>
    <row r="38" spans="1:21">
      <c r="A38" s="112" t="s">
        <v>33</v>
      </c>
      <c r="B38" s="113">
        <v>1</v>
      </c>
      <c r="C38" s="113">
        <v>10878</v>
      </c>
      <c r="D38" s="113">
        <v>10878</v>
      </c>
      <c r="E38" s="113">
        <v>10878</v>
      </c>
      <c r="F38" s="113">
        <v>10878</v>
      </c>
      <c r="G38" s="113">
        <v>10878</v>
      </c>
      <c r="H38" s="113">
        <v>10878</v>
      </c>
      <c r="I38" s="113">
        <v>10878</v>
      </c>
      <c r="J38" s="69">
        <v>0</v>
      </c>
      <c r="K38" s="52">
        <v>9.1929999999999998E-2</v>
      </c>
      <c r="L38" s="114">
        <v>0.02</v>
      </c>
      <c r="M38" s="113">
        <v>0.04</v>
      </c>
      <c r="N38" s="50" t="str">
        <f>C38&amp;" ("&amp;TEXT(C38/1000,"0.000")&amp;" secs)"</f>
        <v>10878 (10.878 secs)</v>
      </c>
      <c r="O38" s="52" t="str">
        <f>D38&amp;" ("&amp;TEXT(D38/1000,"0.000")&amp;" secs)"</f>
        <v>10878 (10.878 secs)</v>
      </c>
      <c r="P38" s="52" t="str">
        <f t="shared" ref="P38:T42" si="3">E38&amp;" ("&amp;TEXT(E38/1000,"0.000")&amp;" secs)"</f>
        <v>10878 (10.878 secs)</v>
      </c>
      <c r="Q38" s="52" t="str">
        <f t="shared" si="3"/>
        <v>10878 (10.878 secs)</v>
      </c>
      <c r="R38" s="52" t="str">
        <f t="shared" si="3"/>
        <v>10878 (10.878 secs)</v>
      </c>
      <c r="S38" s="52" t="str">
        <f t="shared" si="3"/>
        <v>10878 (10.878 secs)</v>
      </c>
      <c r="T38" s="52" t="str">
        <f t="shared" si="3"/>
        <v>10878 (10.878 secs)</v>
      </c>
      <c r="U38" s="115" t="s">
        <v>164</v>
      </c>
    </row>
    <row r="39" spans="1:21">
      <c r="A39" s="112" t="s">
        <v>38</v>
      </c>
      <c r="B39" s="113">
        <v>1</v>
      </c>
      <c r="C39" s="113">
        <v>18</v>
      </c>
      <c r="D39" s="113">
        <v>18</v>
      </c>
      <c r="E39" s="113">
        <v>18</v>
      </c>
      <c r="F39" s="113">
        <v>18</v>
      </c>
      <c r="G39" s="113">
        <v>18</v>
      </c>
      <c r="H39" s="113">
        <v>18</v>
      </c>
      <c r="I39" s="113">
        <v>18</v>
      </c>
      <c r="J39" s="69">
        <v>0</v>
      </c>
      <c r="K39" s="52">
        <v>55.55556</v>
      </c>
      <c r="L39" s="114">
        <v>53.22</v>
      </c>
      <c r="M39" s="113">
        <v>18.66</v>
      </c>
      <c r="N39" s="52" t="str">
        <f t="shared" ref="N39:N52" si="4">C39&amp;" ("&amp;TEXT(C39/1000,"0.000")&amp;" secs)"</f>
        <v>18 (0.018 secs)</v>
      </c>
      <c r="O39" s="52" t="str">
        <f t="shared" ref="O39:O42" si="5">D39&amp;" ("&amp;TEXT(D39/1000,"0.000")&amp;" secs)"</f>
        <v>18 (0.018 secs)</v>
      </c>
      <c r="P39" s="52" t="str">
        <f t="shared" si="3"/>
        <v>18 (0.018 secs)</v>
      </c>
      <c r="Q39" s="52" t="str">
        <f t="shared" si="3"/>
        <v>18 (0.018 secs)</v>
      </c>
      <c r="R39" s="52" t="str">
        <f t="shared" si="3"/>
        <v>18 (0.018 secs)</v>
      </c>
      <c r="S39" s="52" t="str">
        <f t="shared" si="3"/>
        <v>18 (0.018 secs)</v>
      </c>
      <c r="T39" s="52" t="str">
        <f t="shared" si="3"/>
        <v>18 (0.018 secs)</v>
      </c>
      <c r="U39" s="115"/>
    </row>
    <row r="40" spans="1:21">
      <c r="A40" s="112" t="s">
        <v>39</v>
      </c>
      <c r="B40" s="113">
        <v>1</v>
      </c>
      <c r="C40" s="113">
        <v>21</v>
      </c>
      <c r="D40" s="113">
        <v>21</v>
      </c>
      <c r="E40" s="113">
        <v>21</v>
      </c>
      <c r="F40" s="113">
        <v>21</v>
      </c>
      <c r="G40" s="113">
        <v>21</v>
      </c>
      <c r="H40" s="113">
        <v>21</v>
      </c>
      <c r="I40" s="113">
        <v>21</v>
      </c>
      <c r="J40" s="69">
        <v>0</v>
      </c>
      <c r="K40" s="52">
        <v>47.619050000000001</v>
      </c>
      <c r="L40" s="114">
        <v>11.63</v>
      </c>
      <c r="M40" s="113">
        <v>17.95</v>
      </c>
      <c r="N40" s="52" t="str">
        <f t="shared" si="4"/>
        <v>21 (0.021 secs)</v>
      </c>
      <c r="O40" s="52" t="str">
        <f t="shared" si="5"/>
        <v>21 (0.021 secs)</v>
      </c>
      <c r="P40" s="52" t="str">
        <f t="shared" si="3"/>
        <v>21 (0.021 secs)</v>
      </c>
      <c r="Q40" s="52" t="str">
        <f t="shared" si="3"/>
        <v>21 (0.021 secs)</v>
      </c>
      <c r="R40" s="52" t="str">
        <f t="shared" si="3"/>
        <v>21 (0.021 secs)</v>
      </c>
      <c r="S40" s="52" t="str">
        <f t="shared" si="3"/>
        <v>21 (0.021 secs)</v>
      </c>
      <c r="T40" s="52" t="str">
        <f t="shared" si="3"/>
        <v>21 (0.021 secs)</v>
      </c>
      <c r="U40" s="115"/>
    </row>
    <row r="41" spans="1:21">
      <c r="A41" s="112" t="s">
        <v>40</v>
      </c>
      <c r="B41" s="113">
        <v>1</v>
      </c>
      <c r="C41" s="113">
        <v>14</v>
      </c>
      <c r="D41" s="113">
        <v>14</v>
      </c>
      <c r="E41" s="113">
        <v>14</v>
      </c>
      <c r="F41" s="113">
        <v>14</v>
      </c>
      <c r="G41" s="113">
        <v>14</v>
      </c>
      <c r="H41" s="113">
        <v>14</v>
      </c>
      <c r="I41" s="113">
        <v>14</v>
      </c>
      <c r="J41" s="69">
        <v>0</v>
      </c>
      <c r="K41" s="52">
        <v>71.428569999999993</v>
      </c>
      <c r="L41" s="114">
        <v>38.99</v>
      </c>
      <c r="M41" s="113">
        <v>25.74</v>
      </c>
      <c r="N41" s="52" t="str">
        <f t="shared" si="4"/>
        <v>14 (0.014 secs)</v>
      </c>
      <c r="O41" s="52" t="str">
        <f t="shared" si="5"/>
        <v>14 (0.014 secs)</v>
      </c>
      <c r="P41" s="52" t="str">
        <f t="shared" si="3"/>
        <v>14 (0.014 secs)</v>
      </c>
      <c r="Q41" s="52" t="str">
        <f t="shared" si="3"/>
        <v>14 (0.014 secs)</v>
      </c>
      <c r="R41" s="52" t="str">
        <f t="shared" si="3"/>
        <v>14 (0.014 secs)</v>
      </c>
      <c r="S41" s="52" t="str">
        <f t="shared" si="3"/>
        <v>14 (0.014 secs)</v>
      </c>
      <c r="T41" s="52" t="str">
        <f t="shared" si="3"/>
        <v>14 (0.014 secs)</v>
      </c>
      <c r="U41" s="115"/>
    </row>
    <row r="42" spans="1:21" ht="15" thickBot="1">
      <c r="A42" s="116" t="s">
        <v>128</v>
      </c>
      <c r="B42" s="117">
        <v>4</v>
      </c>
      <c r="C42" s="117">
        <v>2732</v>
      </c>
      <c r="D42" s="117">
        <v>18</v>
      </c>
      <c r="E42" s="117">
        <v>10878</v>
      </c>
      <c r="F42" s="117">
        <v>10878</v>
      </c>
      <c r="G42" s="117">
        <v>10878</v>
      </c>
      <c r="H42" s="117">
        <v>14</v>
      </c>
      <c r="I42" s="117">
        <v>10878</v>
      </c>
      <c r="J42" s="79">
        <v>0</v>
      </c>
      <c r="K42" s="53">
        <v>0.36219000000000001</v>
      </c>
      <c r="L42" s="118">
        <v>0.18</v>
      </c>
      <c r="M42" s="117">
        <v>0.14000000000000001</v>
      </c>
      <c r="N42" s="57" t="str">
        <f t="shared" si="4"/>
        <v>2732 (2.732 secs)</v>
      </c>
      <c r="O42" s="53" t="str">
        <f t="shared" si="5"/>
        <v>18 (0.018 secs)</v>
      </c>
      <c r="P42" s="53" t="str">
        <f t="shared" si="3"/>
        <v>10878 (10.878 secs)</v>
      </c>
      <c r="Q42" s="53" t="str">
        <f t="shared" si="3"/>
        <v>10878 (10.878 secs)</v>
      </c>
      <c r="R42" s="53" t="str">
        <f t="shared" si="3"/>
        <v>10878 (10.878 secs)</v>
      </c>
      <c r="S42" s="53" t="str">
        <f t="shared" si="3"/>
        <v>14 (0.014 secs)</v>
      </c>
      <c r="T42" s="53" t="str">
        <f t="shared" si="3"/>
        <v>10878 (10.878 secs)</v>
      </c>
      <c r="U42" s="119"/>
    </row>
    <row r="44" spans="1:21">
      <c r="A44" s="101" t="s">
        <v>43</v>
      </c>
      <c r="B44" s="102" t="s">
        <v>44</v>
      </c>
      <c r="C44" s="105"/>
      <c r="D44" s="104"/>
      <c r="E44" s="105"/>
      <c r="F44" s="105"/>
      <c r="G44" s="105"/>
      <c r="H44" s="105"/>
      <c r="I44" s="105"/>
      <c r="J44" s="105"/>
      <c r="K44" s="105"/>
      <c r="N44" s="86"/>
      <c r="O44" s="86"/>
      <c r="P44" s="86"/>
      <c r="Q44" s="86"/>
      <c r="R44" s="86"/>
      <c r="S44" s="86"/>
      <c r="T44" s="130"/>
    </row>
    <row r="45" spans="1:21">
      <c r="A45" s="134" t="s">
        <v>13</v>
      </c>
      <c r="B45" s="107" t="s">
        <v>165</v>
      </c>
      <c r="C45" s="104"/>
      <c r="D45" s="104"/>
      <c r="E45" s="105"/>
      <c r="F45" s="105"/>
      <c r="G45" s="105"/>
      <c r="H45" s="105"/>
      <c r="I45" s="105"/>
      <c r="J45" s="105"/>
      <c r="K45" s="105"/>
      <c r="N45" s="86"/>
      <c r="O45" s="86"/>
      <c r="P45" s="86"/>
      <c r="Q45" s="86"/>
      <c r="R45" s="86"/>
      <c r="S45" s="86"/>
      <c r="T45" s="130"/>
    </row>
    <row r="46" spans="1:21">
      <c r="A46" s="135"/>
      <c r="B46" s="129"/>
      <c r="D46" s="86"/>
      <c r="N46" s="86"/>
      <c r="O46" s="86"/>
      <c r="P46" s="86"/>
      <c r="Q46" s="86"/>
      <c r="R46" s="86"/>
      <c r="S46" s="86"/>
      <c r="T46" s="130"/>
    </row>
    <row r="47" spans="1:21">
      <c r="A47" s="108" t="s">
        <v>114</v>
      </c>
      <c r="B47" s="109" t="s">
        <v>115</v>
      </c>
      <c r="C47" s="109" t="s">
        <v>116</v>
      </c>
      <c r="D47" s="109" t="s">
        <v>117</v>
      </c>
      <c r="E47" s="109" t="s">
        <v>118</v>
      </c>
      <c r="F47" s="109" t="s">
        <v>119</v>
      </c>
      <c r="G47" s="109" t="s">
        <v>120</v>
      </c>
      <c r="H47" s="109" t="s">
        <v>121</v>
      </c>
      <c r="I47" s="109" t="s">
        <v>122</v>
      </c>
      <c r="J47" s="109" t="s">
        <v>123</v>
      </c>
      <c r="K47" s="109" t="s">
        <v>143</v>
      </c>
      <c r="L47" s="109" t="s">
        <v>125</v>
      </c>
      <c r="M47" s="109" t="s">
        <v>126</v>
      </c>
      <c r="N47" s="109" t="s">
        <v>116</v>
      </c>
      <c r="O47" s="109" t="s">
        <v>117</v>
      </c>
      <c r="P47" s="109" t="s">
        <v>118</v>
      </c>
      <c r="Q47" s="109" t="s">
        <v>119</v>
      </c>
      <c r="R47" s="109" t="s">
        <v>120</v>
      </c>
      <c r="S47" s="109" t="s">
        <v>121</v>
      </c>
      <c r="T47" s="109" t="s">
        <v>122</v>
      </c>
      <c r="U47" s="110" t="s">
        <v>127</v>
      </c>
    </row>
    <row r="48" spans="1:21">
      <c r="A48" s="112" t="s">
        <v>33</v>
      </c>
      <c r="B48" s="113">
        <v>1</v>
      </c>
      <c r="C48" s="113">
        <v>525</v>
      </c>
      <c r="D48" s="113">
        <v>525</v>
      </c>
      <c r="E48" s="113">
        <v>525</v>
      </c>
      <c r="F48" s="113">
        <v>525</v>
      </c>
      <c r="G48" s="113">
        <v>525</v>
      </c>
      <c r="H48" s="113">
        <v>525</v>
      </c>
      <c r="I48" s="113">
        <v>525</v>
      </c>
      <c r="J48" s="69">
        <v>0</v>
      </c>
      <c r="K48" s="52">
        <v>1.90476</v>
      </c>
      <c r="L48" s="114">
        <v>0.38</v>
      </c>
      <c r="M48" s="113">
        <v>0.84</v>
      </c>
      <c r="N48" s="52" t="str">
        <f t="shared" si="4"/>
        <v>525 (0.525 secs)</v>
      </c>
      <c r="O48" s="52" t="str">
        <f>D48&amp;" ("&amp;TEXT(D48/1000,"0.000")&amp;" secs)"</f>
        <v>525 (0.525 secs)</v>
      </c>
      <c r="P48" s="52" t="str">
        <f t="shared" ref="P48:T52" si="6">E48&amp;" ("&amp;TEXT(E48/1000,"0.000")&amp;" secs)"</f>
        <v>525 (0.525 secs)</v>
      </c>
      <c r="Q48" s="52" t="str">
        <f t="shared" si="6"/>
        <v>525 (0.525 secs)</v>
      </c>
      <c r="R48" s="52" t="str">
        <f t="shared" si="6"/>
        <v>525 (0.525 secs)</v>
      </c>
      <c r="S48" s="52" t="str">
        <f t="shared" si="6"/>
        <v>525 (0.525 secs)</v>
      </c>
      <c r="T48" s="52" t="str">
        <f t="shared" si="6"/>
        <v>525 (0.525 secs)</v>
      </c>
      <c r="U48" s="115"/>
    </row>
    <row r="49" spans="1:21">
      <c r="A49" s="112" t="s">
        <v>38</v>
      </c>
      <c r="B49" s="113">
        <v>1</v>
      </c>
      <c r="C49" s="113">
        <v>18</v>
      </c>
      <c r="D49" s="113">
        <v>18</v>
      </c>
      <c r="E49" s="113">
        <v>18</v>
      </c>
      <c r="F49" s="113">
        <v>18</v>
      </c>
      <c r="G49" s="113">
        <v>18</v>
      </c>
      <c r="H49" s="113">
        <v>18</v>
      </c>
      <c r="I49" s="113">
        <v>18</v>
      </c>
      <c r="J49" s="69">
        <v>0</v>
      </c>
      <c r="K49" s="52">
        <v>55.55556</v>
      </c>
      <c r="L49" s="114">
        <v>73.510000000000005</v>
      </c>
      <c r="M49" s="113">
        <v>18.66</v>
      </c>
      <c r="N49" s="52" t="str">
        <f t="shared" si="4"/>
        <v>18 (0.018 secs)</v>
      </c>
      <c r="O49" s="52" t="str">
        <f t="shared" ref="O49:O52" si="7">D49&amp;" ("&amp;TEXT(D49/1000,"0.000")&amp;" secs)"</f>
        <v>18 (0.018 secs)</v>
      </c>
      <c r="P49" s="52" t="str">
        <f t="shared" si="6"/>
        <v>18 (0.018 secs)</v>
      </c>
      <c r="Q49" s="52" t="str">
        <f t="shared" si="6"/>
        <v>18 (0.018 secs)</v>
      </c>
      <c r="R49" s="52" t="str">
        <f t="shared" si="6"/>
        <v>18 (0.018 secs)</v>
      </c>
      <c r="S49" s="52" t="str">
        <f t="shared" si="6"/>
        <v>18 (0.018 secs)</v>
      </c>
      <c r="T49" s="52" t="str">
        <f t="shared" si="6"/>
        <v>18 (0.018 secs)</v>
      </c>
      <c r="U49" s="115"/>
    </row>
    <row r="50" spans="1:21">
      <c r="A50" s="112" t="s">
        <v>39</v>
      </c>
      <c r="B50" s="113">
        <v>1</v>
      </c>
      <c r="C50" s="113">
        <v>14</v>
      </c>
      <c r="D50" s="113">
        <v>14</v>
      </c>
      <c r="E50" s="113">
        <v>14</v>
      </c>
      <c r="F50" s="113">
        <v>14</v>
      </c>
      <c r="G50" s="113">
        <v>14</v>
      </c>
      <c r="H50" s="113">
        <v>14</v>
      </c>
      <c r="I50" s="113">
        <v>14</v>
      </c>
      <c r="J50" s="69">
        <v>0</v>
      </c>
      <c r="K50" s="52">
        <v>71.428569999999993</v>
      </c>
      <c r="L50" s="114">
        <v>17.09</v>
      </c>
      <c r="M50" s="113">
        <v>26.93</v>
      </c>
      <c r="N50" s="52" t="str">
        <f t="shared" si="4"/>
        <v>14 (0.014 secs)</v>
      </c>
      <c r="O50" s="52" t="str">
        <f t="shared" si="7"/>
        <v>14 (0.014 secs)</v>
      </c>
      <c r="P50" s="52" t="str">
        <f t="shared" si="6"/>
        <v>14 (0.014 secs)</v>
      </c>
      <c r="Q50" s="52" t="str">
        <f t="shared" si="6"/>
        <v>14 (0.014 secs)</v>
      </c>
      <c r="R50" s="52" t="str">
        <f t="shared" si="6"/>
        <v>14 (0.014 secs)</v>
      </c>
      <c r="S50" s="52" t="str">
        <f t="shared" si="6"/>
        <v>14 (0.014 secs)</v>
      </c>
      <c r="T50" s="52" t="str">
        <f t="shared" si="6"/>
        <v>14 (0.014 secs)</v>
      </c>
      <c r="U50" s="115"/>
    </row>
    <row r="51" spans="1:21">
      <c r="A51" s="112" t="s">
        <v>40</v>
      </c>
      <c r="B51" s="113">
        <v>1</v>
      </c>
      <c r="C51" s="113">
        <v>16</v>
      </c>
      <c r="D51" s="113">
        <v>16</v>
      </c>
      <c r="E51" s="113">
        <v>16</v>
      </c>
      <c r="F51" s="113">
        <v>16</v>
      </c>
      <c r="G51" s="113">
        <v>16</v>
      </c>
      <c r="H51" s="113">
        <v>16</v>
      </c>
      <c r="I51" s="113">
        <v>16</v>
      </c>
      <c r="J51" s="69">
        <v>0</v>
      </c>
      <c r="K51" s="52">
        <v>62.5</v>
      </c>
      <c r="L51" s="114">
        <v>25.02</v>
      </c>
      <c r="M51" s="113">
        <v>22.52</v>
      </c>
      <c r="N51" s="52" t="str">
        <f t="shared" si="4"/>
        <v>16 (0.016 secs)</v>
      </c>
      <c r="O51" s="52" t="str">
        <f t="shared" si="7"/>
        <v>16 (0.016 secs)</v>
      </c>
      <c r="P51" s="52" t="str">
        <f t="shared" si="6"/>
        <v>16 (0.016 secs)</v>
      </c>
      <c r="Q51" s="52" t="str">
        <f t="shared" si="6"/>
        <v>16 (0.016 secs)</v>
      </c>
      <c r="R51" s="52" t="str">
        <f t="shared" si="6"/>
        <v>16 (0.016 secs)</v>
      </c>
      <c r="S51" s="52" t="str">
        <f t="shared" si="6"/>
        <v>16 (0.016 secs)</v>
      </c>
      <c r="T51" s="52" t="str">
        <f t="shared" si="6"/>
        <v>16 (0.016 secs)</v>
      </c>
      <c r="U51" s="115"/>
    </row>
    <row r="52" spans="1:21" ht="15" thickBot="1">
      <c r="A52" s="116" t="s">
        <v>128</v>
      </c>
      <c r="B52" s="117">
        <v>4</v>
      </c>
      <c r="C52" s="117">
        <v>143</v>
      </c>
      <c r="D52" s="117">
        <v>16</v>
      </c>
      <c r="E52" s="117">
        <v>525</v>
      </c>
      <c r="F52" s="117">
        <v>525</v>
      </c>
      <c r="G52" s="117">
        <v>525</v>
      </c>
      <c r="H52" s="117">
        <v>14</v>
      </c>
      <c r="I52" s="117">
        <v>525</v>
      </c>
      <c r="J52" s="79">
        <v>0</v>
      </c>
      <c r="K52" s="53">
        <v>5.8997099999999998</v>
      </c>
      <c r="L52" s="118">
        <v>3.19</v>
      </c>
      <c r="M52" s="117">
        <v>2.2400000000000002</v>
      </c>
      <c r="N52" s="53" t="str">
        <f t="shared" si="4"/>
        <v>143 (0.143 secs)</v>
      </c>
      <c r="O52" s="53" t="str">
        <f t="shared" si="7"/>
        <v>16 (0.016 secs)</v>
      </c>
      <c r="P52" s="53" t="str">
        <f t="shared" si="6"/>
        <v>525 (0.525 secs)</v>
      </c>
      <c r="Q52" s="53" t="str">
        <f t="shared" si="6"/>
        <v>525 (0.525 secs)</v>
      </c>
      <c r="R52" s="53" t="str">
        <f t="shared" si="6"/>
        <v>525 (0.525 secs)</v>
      </c>
      <c r="S52" s="53" t="str">
        <f t="shared" si="6"/>
        <v>14 (0.014 secs)</v>
      </c>
      <c r="T52" s="53" t="str">
        <f t="shared" si="6"/>
        <v>525 (0.525 secs)</v>
      </c>
      <c r="U52" s="119"/>
    </row>
    <row r="53" spans="1:21">
      <c r="A53" s="138"/>
      <c r="B53" s="139"/>
      <c r="C53" s="139"/>
      <c r="D53" s="139"/>
      <c r="E53" s="139"/>
      <c r="F53" s="139"/>
      <c r="G53" s="139"/>
      <c r="H53" s="139"/>
      <c r="I53" s="139"/>
      <c r="J53" s="140"/>
      <c r="K53" s="141"/>
      <c r="L53" s="142"/>
      <c r="M53" s="139"/>
      <c r="N53" s="141"/>
      <c r="O53" s="141"/>
      <c r="P53" s="141"/>
      <c r="Q53" s="141"/>
      <c r="R53" s="141"/>
      <c r="S53" s="141"/>
      <c r="T53" s="141"/>
      <c r="U53" s="143"/>
    </row>
    <row r="54" spans="1:21">
      <c r="A54" s="101" t="s">
        <v>46</v>
      </c>
      <c r="B54" s="102" t="s">
        <v>47</v>
      </c>
      <c r="C54" s="105"/>
      <c r="D54" s="104"/>
      <c r="E54" s="105"/>
      <c r="F54" s="105"/>
      <c r="G54" s="105"/>
      <c r="H54" s="105"/>
      <c r="I54" s="105"/>
      <c r="J54" s="105"/>
      <c r="K54" s="105"/>
      <c r="N54" s="121"/>
      <c r="O54" s="86"/>
      <c r="P54" s="86"/>
      <c r="Q54" s="86"/>
      <c r="R54" s="86"/>
      <c r="S54" s="86"/>
      <c r="T54" s="130"/>
    </row>
    <row r="55" spans="1:21">
      <c r="A55" s="134" t="s">
        <v>13</v>
      </c>
      <c r="B55" s="107" t="s">
        <v>166</v>
      </c>
      <c r="C55" s="104"/>
      <c r="D55" s="104"/>
      <c r="E55" s="105"/>
      <c r="F55" s="105"/>
      <c r="G55" s="105"/>
      <c r="H55" s="105"/>
      <c r="I55" s="105"/>
      <c r="J55" s="105"/>
      <c r="K55" s="105"/>
      <c r="N55" s="121"/>
      <c r="O55" s="86"/>
      <c r="P55" s="86"/>
      <c r="Q55" s="86"/>
      <c r="R55" s="86"/>
      <c r="S55" s="86"/>
      <c r="T55" s="130"/>
    </row>
    <row r="56" spans="1:21">
      <c r="A56" s="135"/>
      <c r="B56" s="129"/>
      <c r="D56" s="86"/>
      <c r="N56" s="121"/>
      <c r="O56" s="86"/>
      <c r="P56" s="86"/>
      <c r="Q56" s="86"/>
      <c r="R56" s="86"/>
      <c r="S56" s="86"/>
      <c r="T56" s="130"/>
    </row>
    <row r="57" spans="1:21">
      <c r="A57" s="108" t="s">
        <v>114</v>
      </c>
      <c r="B57" s="109" t="s">
        <v>115</v>
      </c>
      <c r="C57" s="109" t="s">
        <v>116</v>
      </c>
      <c r="D57" s="109" t="s">
        <v>117</v>
      </c>
      <c r="E57" s="109" t="s">
        <v>118</v>
      </c>
      <c r="F57" s="109" t="s">
        <v>119</v>
      </c>
      <c r="G57" s="109" t="s">
        <v>120</v>
      </c>
      <c r="H57" s="109" t="s">
        <v>121</v>
      </c>
      <c r="I57" s="109" t="s">
        <v>122</v>
      </c>
      <c r="J57" s="109" t="s">
        <v>123</v>
      </c>
      <c r="K57" s="109" t="s">
        <v>143</v>
      </c>
      <c r="L57" s="109" t="s">
        <v>125</v>
      </c>
      <c r="M57" s="109" t="s">
        <v>126</v>
      </c>
      <c r="N57" s="109" t="s">
        <v>116</v>
      </c>
      <c r="O57" s="109" t="s">
        <v>117</v>
      </c>
      <c r="P57" s="109" t="s">
        <v>118</v>
      </c>
      <c r="Q57" s="109" t="s">
        <v>119</v>
      </c>
      <c r="R57" s="109" t="s">
        <v>120</v>
      </c>
      <c r="S57" s="109" t="s">
        <v>121</v>
      </c>
      <c r="T57" s="109" t="s">
        <v>122</v>
      </c>
      <c r="U57" s="110" t="s">
        <v>127</v>
      </c>
    </row>
    <row r="58" spans="1:21">
      <c r="A58" s="112" t="s">
        <v>33</v>
      </c>
      <c r="B58" s="113">
        <v>1</v>
      </c>
      <c r="C58" s="113">
        <v>386</v>
      </c>
      <c r="D58" s="113">
        <v>386</v>
      </c>
      <c r="E58" s="113">
        <v>386</v>
      </c>
      <c r="F58" s="113">
        <v>386</v>
      </c>
      <c r="G58" s="113">
        <v>386</v>
      </c>
      <c r="H58" s="113">
        <v>386</v>
      </c>
      <c r="I58" s="113">
        <v>386</v>
      </c>
      <c r="J58" s="69">
        <v>0</v>
      </c>
      <c r="K58" s="52">
        <v>2.5906699999999998</v>
      </c>
      <c r="L58" s="114">
        <v>0.52</v>
      </c>
      <c r="M58" s="113">
        <v>1.1499999999999999</v>
      </c>
      <c r="N58" s="52" t="str">
        <f>C58&amp;" ("&amp;TEXT(C58/1000,"0.000")&amp;" secs)"</f>
        <v>386 (0.386 secs)</v>
      </c>
      <c r="O58" s="52" t="str">
        <f>D58&amp;" ("&amp;TEXT(D58/1000,"0.000")&amp;" secs)"</f>
        <v>386 (0.386 secs)</v>
      </c>
      <c r="P58" s="52" t="str">
        <f t="shared" ref="P58:T62" si="8">E58&amp;" ("&amp;TEXT(E58/1000,"0.000")&amp;" secs)"</f>
        <v>386 (0.386 secs)</v>
      </c>
      <c r="Q58" s="52" t="str">
        <f t="shared" si="8"/>
        <v>386 (0.386 secs)</v>
      </c>
      <c r="R58" s="52" t="str">
        <f t="shared" si="8"/>
        <v>386 (0.386 secs)</v>
      </c>
      <c r="S58" s="52" t="str">
        <f t="shared" si="8"/>
        <v>386 (0.386 secs)</v>
      </c>
      <c r="T58" s="52" t="str">
        <f t="shared" si="8"/>
        <v>386 (0.386 secs)</v>
      </c>
      <c r="U58" s="115"/>
    </row>
    <row r="59" spans="1:21">
      <c r="A59" s="112" t="s">
        <v>38</v>
      </c>
      <c r="B59" s="113">
        <v>1</v>
      </c>
      <c r="C59" s="113">
        <v>21</v>
      </c>
      <c r="D59" s="113">
        <v>21</v>
      </c>
      <c r="E59" s="113">
        <v>21</v>
      </c>
      <c r="F59" s="113">
        <v>21</v>
      </c>
      <c r="G59" s="113">
        <v>21</v>
      </c>
      <c r="H59" s="113">
        <v>21</v>
      </c>
      <c r="I59" s="113">
        <v>21</v>
      </c>
      <c r="J59" s="69">
        <v>0</v>
      </c>
      <c r="K59" s="52">
        <v>47.619050000000001</v>
      </c>
      <c r="L59" s="114">
        <v>80.400000000000006</v>
      </c>
      <c r="M59" s="113">
        <v>16</v>
      </c>
      <c r="N59" s="52" t="str">
        <f t="shared" ref="N59:O62" si="9">C59&amp;" ("&amp;TEXT(C59/1000,"0.000")&amp;" secs)"</f>
        <v>21 (0.021 secs)</v>
      </c>
      <c r="O59" s="52" t="str">
        <f t="shared" si="9"/>
        <v>21 (0.021 secs)</v>
      </c>
      <c r="P59" s="52" t="str">
        <f t="shared" si="8"/>
        <v>21 (0.021 secs)</v>
      </c>
      <c r="Q59" s="52" t="str">
        <f t="shared" si="8"/>
        <v>21 (0.021 secs)</v>
      </c>
      <c r="R59" s="52" t="str">
        <f t="shared" si="8"/>
        <v>21 (0.021 secs)</v>
      </c>
      <c r="S59" s="52" t="str">
        <f t="shared" si="8"/>
        <v>21 (0.021 secs)</v>
      </c>
      <c r="T59" s="52" t="str">
        <f t="shared" si="8"/>
        <v>21 (0.021 secs)</v>
      </c>
      <c r="U59" s="115"/>
    </row>
    <row r="60" spans="1:21">
      <c r="A60" s="112" t="s">
        <v>39</v>
      </c>
      <c r="B60" s="113">
        <v>1</v>
      </c>
      <c r="C60" s="113">
        <v>15</v>
      </c>
      <c r="D60" s="113">
        <v>15</v>
      </c>
      <c r="E60" s="113">
        <v>15</v>
      </c>
      <c r="F60" s="113">
        <v>15</v>
      </c>
      <c r="G60" s="113">
        <v>15</v>
      </c>
      <c r="H60" s="113">
        <v>15</v>
      </c>
      <c r="I60" s="113">
        <v>15</v>
      </c>
      <c r="J60" s="69">
        <v>0</v>
      </c>
      <c r="K60" s="52">
        <v>66.666669999999996</v>
      </c>
      <c r="L60" s="114">
        <v>17.12</v>
      </c>
      <c r="M60" s="113">
        <v>25.13</v>
      </c>
      <c r="N60" s="52" t="str">
        <f t="shared" si="9"/>
        <v>15 (0.015 secs)</v>
      </c>
      <c r="O60" s="52" t="str">
        <f t="shared" si="9"/>
        <v>15 (0.015 secs)</v>
      </c>
      <c r="P60" s="52" t="str">
        <f t="shared" si="8"/>
        <v>15 (0.015 secs)</v>
      </c>
      <c r="Q60" s="52" t="str">
        <f t="shared" si="8"/>
        <v>15 (0.015 secs)</v>
      </c>
      <c r="R60" s="52" t="str">
        <f t="shared" si="8"/>
        <v>15 (0.015 secs)</v>
      </c>
      <c r="S60" s="52" t="str">
        <f t="shared" si="8"/>
        <v>15 (0.015 secs)</v>
      </c>
      <c r="T60" s="52" t="str">
        <f t="shared" si="8"/>
        <v>15 (0.015 secs)</v>
      </c>
      <c r="U60" s="115"/>
    </row>
    <row r="61" spans="1:21">
      <c r="A61" s="112" t="s">
        <v>40</v>
      </c>
      <c r="B61" s="113">
        <v>1</v>
      </c>
      <c r="C61" s="113">
        <v>10</v>
      </c>
      <c r="D61" s="113">
        <v>10</v>
      </c>
      <c r="E61" s="113">
        <v>10</v>
      </c>
      <c r="F61" s="113">
        <v>10</v>
      </c>
      <c r="G61" s="113">
        <v>10</v>
      </c>
      <c r="H61" s="113">
        <v>10</v>
      </c>
      <c r="I61" s="113">
        <v>10</v>
      </c>
      <c r="J61" s="69">
        <v>0</v>
      </c>
      <c r="K61" s="52">
        <v>100</v>
      </c>
      <c r="L61" s="114">
        <v>31.15</v>
      </c>
      <c r="M61" s="113">
        <v>36.130000000000003</v>
      </c>
      <c r="N61" s="52" t="str">
        <f t="shared" si="9"/>
        <v>10 (0.010 secs)</v>
      </c>
      <c r="O61" s="52" t="str">
        <f t="shared" si="9"/>
        <v>10 (0.010 secs)</v>
      </c>
      <c r="P61" s="52" t="str">
        <f t="shared" si="8"/>
        <v>10 (0.010 secs)</v>
      </c>
      <c r="Q61" s="52" t="str">
        <f t="shared" si="8"/>
        <v>10 (0.010 secs)</v>
      </c>
      <c r="R61" s="52" t="str">
        <f t="shared" si="8"/>
        <v>10 (0.010 secs)</v>
      </c>
      <c r="S61" s="52" t="str">
        <f t="shared" si="8"/>
        <v>10 (0.010 secs)</v>
      </c>
      <c r="T61" s="52" t="str">
        <f t="shared" si="8"/>
        <v>10 (0.010 secs)</v>
      </c>
      <c r="U61" s="115"/>
    </row>
    <row r="62" spans="1:21" ht="15" thickBot="1">
      <c r="A62" s="116" t="s">
        <v>128</v>
      </c>
      <c r="B62" s="117">
        <v>4</v>
      </c>
      <c r="C62" s="117">
        <v>108</v>
      </c>
      <c r="D62" s="117">
        <v>15</v>
      </c>
      <c r="E62" s="117">
        <v>386</v>
      </c>
      <c r="F62" s="117">
        <v>386</v>
      </c>
      <c r="G62" s="117">
        <v>386</v>
      </c>
      <c r="H62" s="117">
        <v>10</v>
      </c>
      <c r="I62" s="117">
        <v>386</v>
      </c>
      <c r="J62" s="79">
        <v>0</v>
      </c>
      <c r="K62" s="53">
        <v>7.4487899999999998</v>
      </c>
      <c r="L62" s="118">
        <v>4.58</v>
      </c>
      <c r="M62" s="117">
        <v>2.82</v>
      </c>
      <c r="N62" s="53" t="str">
        <f t="shared" si="9"/>
        <v>108 (0.108 secs)</v>
      </c>
      <c r="O62" s="53" t="str">
        <f t="shared" si="9"/>
        <v>15 (0.015 secs)</v>
      </c>
      <c r="P62" s="53" t="str">
        <f t="shared" si="8"/>
        <v>386 (0.386 secs)</v>
      </c>
      <c r="Q62" s="53" t="str">
        <f t="shared" si="8"/>
        <v>386 (0.386 secs)</v>
      </c>
      <c r="R62" s="53" t="str">
        <f t="shared" si="8"/>
        <v>386 (0.386 secs)</v>
      </c>
      <c r="S62" s="53" t="str">
        <f t="shared" si="8"/>
        <v>10 (0.010 secs)</v>
      </c>
      <c r="T62" s="53" t="str">
        <f t="shared" si="8"/>
        <v>386 (0.386 secs)</v>
      </c>
      <c r="U62" s="119"/>
    </row>
    <row r="64" spans="1:21">
      <c r="A64" s="101" t="s">
        <v>49</v>
      </c>
      <c r="B64" s="102" t="s">
        <v>50</v>
      </c>
      <c r="C64" s="105"/>
      <c r="D64" s="104"/>
      <c r="E64" s="105"/>
      <c r="F64" s="105"/>
      <c r="G64" s="105"/>
      <c r="H64" s="105"/>
      <c r="I64" s="105"/>
      <c r="J64" s="105"/>
      <c r="K64" s="105"/>
      <c r="N64" s="111"/>
      <c r="O64" s="86"/>
      <c r="P64" s="86"/>
      <c r="Q64" s="86"/>
      <c r="R64" s="86"/>
      <c r="S64" s="86"/>
      <c r="T64" s="130"/>
    </row>
    <row r="65" spans="1:21">
      <c r="A65" s="134" t="s">
        <v>13</v>
      </c>
      <c r="B65" s="107" t="s">
        <v>167</v>
      </c>
      <c r="C65" s="104"/>
      <c r="D65" s="104"/>
      <c r="E65" s="105"/>
      <c r="F65" s="105"/>
      <c r="G65" s="105"/>
      <c r="H65" s="105"/>
      <c r="I65" s="105"/>
      <c r="J65" s="105"/>
      <c r="K65" s="105"/>
      <c r="N65" s="121"/>
      <c r="O65" s="86"/>
      <c r="P65" s="86"/>
      <c r="Q65" s="86"/>
      <c r="R65" s="86"/>
      <c r="S65" s="86"/>
      <c r="T65" s="130"/>
    </row>
    <row r="66" spans="1:21">
      <c r="A66" s="135"/>
      <c r="B66" s="129"/>
      <c r="D66" s="86"/>
      <c r="N66" s="121"/>
      <c r="O66" s="86"/>
      <c r="P66" s="86"/>
      <c r="Q66" s="86"/>
      <c r="R66" s="86"/>
      <c r="S66" s="86"/>
      <c r="T66" s="130"/>
    </row>
    <row r="67" spans="1:21">
      <c r="A67" s="108" t="s">
        <v>114</v>
      </c>
      <c r="B67" s="109" t="s">
        <v>115</v>
      </c>
      <c r="C67" s="109" t="s">
        <v>116</v>
      </c>
      <c r="D67" s="109" t="s">
        <v>117</v>
      </c>
      <c r="E67" s="109" t="s">
        <v>118</v>
      </c>
      <c r="F67" s="109" t="s">
        <v>119</v>
      </c>
      <c r="G67" s="109" t="s">
        <v>120</v>
      </c>
      <c r="H67" s="109" t="s">
        <v>121</v>
      </c>
      <c r="I67" s="109" t="s">
        <v>122</v>
      </c>
      <c r="J67" s="109" t="s">
        <v>123</v>
      </c>
      <c r="K67" s="109" t="s">
        <v>143</v>
      </c>
      <c r="L67" s="109" t="s">
        <v>125</v>
      </c>
      <c r="M67" s="109" t="s">
        <v>126</v>
      </c>
      <c r="N67" s="109" t="s">
        <v>116</v>
      </c>
      <c r="O67" s="109" t="s">
        <v>117</v>
      </c>
      <c r="P67" s="109" t="s">
        <v>118</v>
      </c>
      <c r="Q67" s="109" t="s">
        <v>119</v>
      </c>
      <c r="R67" s="109" t="s">
        <v>120</v>
      </c>
      <c r="S67" s="109" t="s">
        <v>121</v>
      </c>
      <c r="T67" s="109" t="s">
        <v>122</v>
      </c>
      <c r="U67" s="110" t="s">
        <v>127</v>
      </c>
    </row>
    <row r="68" spans="1:21">
      <c r="A68" s="112" t="s">
        <v>33</v>
      </c>
      <c r="B68" s="113">
        <v>1</v>
      </c>
      <c r="C68" s="113">
        <v>8276</v>
      </c>
      <c r="D68" s="113">
        <v>8276</v>
      </c>
      <c r="E68" s="113">
        <v>8276</v>
      </c>
      <c r="F68" s="113">
        <v>8276</v>
      </c>
      <c r="G68" s="113">
        <v>8276</v>
      </c>
      <c r="H68" s="113">
        <v>8276</v>
      </c>
      <c r="I68" s="113">
        <v>8276</v>
      </c>
      <c r="J68" s="69">
        <v>0</v>
      </c>
      <c r="K68" s="52">
        <v>0.12083000000000001</v>
      </c>
      <c r="L68" s="114">
        <v>0.02</v>
      </c>
      <c r="M68" s="113">
        <v>0.05</v>
      </c>
      <c r="N68" s="50" t="str">
        <f>C68&amp;" ("&amp;TEXT(C68/1000,"0.000")&amp;" secs)"</f>
        <v>8276 (8.276 secs)</v>
      </c>
      <c r="O68" s="52" t="str">
        <f>D68&amp;" ("&amp;TEXT(D68/1000,"0.000")&amp;" secs)"</f>
        <v>8276 (8.276 secs)</v>
      </c>
      <c r="P68" s="52" t="str">
        <f t="shared" ref="P68:T72" si="10">E68&amp;" ("&amp;TEXT(E68/1000,"0.000")&amp;" secs)"</f>
        <v>8276 (8.276 secs)</v>
      </c>
      <c r="Q68" s="52" t="str">
        <f t="shared" si="10"/>
        <v>8276 (8.276 secs)</v>
      </c>
      <c r="R68" s="52" t="str">
        <f t="shared" si="10"/>
        <v>8276 (8.276 secs)</v>
      </c>
      <c r="S68" s="52" t="str">
        <f t="shared" si="10"/>
        <v>8276 (8.276 secs)</v>
      </c>
      <c r="T68" s="52" t="str">
        <f t="shared" si="10"/>
        <v>8276 (8.276 secs)</v>
      </c>
      <c r="U68" s="115" t="s">
        <v>168</v>
      </c>
    </row>
    <row r="69" spans="1:21">
      <c r="A69" s="112" t="s">
        <v>38</v>
      </c>
      <c r="B69" s="113">
        <v>1</v>
      </c>
      <c r="C69" s="113">
        <v>20</v>
      </c>
      <c r="D69" s="113">
        <v>20</v>
      </c>
      <c r="E69" s="113">
        <v>20</v>
      </c>
      <c r="F69" s="113">
        <v>20</v>
      </c>
      <c r="G69" s="113">
        <v>20</v>
      </c>
      <c r="H69" s="113">
        <v>20</v>
      </c>
      <c r="I69" s="113">
        <v>20</v>
      </c>
      <c r="J69" s="69">
        <v>0</v>
      </c>
      <c r="K69" s="52">
        <v>50</v>
      </c>
      <c r="L69" s="114">
        <v>103.12</v>
      </c>
      <c r="M69" s="113">
        <v>16.8</v>
      </c>
      <c r="N69" s="52" t="str">
        <f t="shared" ref="N69:O72" si="11">C69&amp;" ("&amp;TEXT(C69/1000,"0.000")&amp;" secs)"</f>
        <v>20 (0.020 secs)</v>
      </c>
      <c r="O69" s="52" t="str">
        <f t="shared" si="11"/>
        <v>20 (0.020 secs)</v>
      </c>
      <c r="P69" s="52" t="str">
        <f t="shared" si="10"/>
        <v>20 (0.020 secs)</v>
      </c>
      <c r="Q69" s="52" t="str">
        <f t="shared" si="10"/>
        <v>20 (0.020 secs)</v>
      </c>
      <c r="R69" s="52" t="str">
        <f t="shared" si="10"/>
        <v>20 (0.020 secs)</v>
      </c>
      <c r="S69" s="52" t="str">
        <f t="shared" si="10"/>
        <v>20 (0.020 secs)</v>
      </c>
      <c r="T69" s="52" t="str">
        <f t="shared" si="10"/>
        <v>20 (0.020 secs)</v>
      </c>
      <c r="U69" s="115"/>
    </row>
    <row r="70" spans="1:21">
      <c r="A70" s="112" t="s">
        <v>39</v>
      </c>
      <c r="B70" s="113">
        <v>1</v>
      </c>
      <c r="C70" s="113">
        <v>16</v>
      </c>
      <c r="D70" s="113">
        <v>16</v>
      </c>
      <c r="E70" s="113">
        <v>16</v>
      </c>
      <c r="F70" s="113">
        <v>16</v>
      </c>
      <c r="G70" s="113">
        <v>16</v>
      </c>
      <c r="H70" s="113">
        <v>16</v>
      </c>
      <c r="I70" s="113">
        <v>16</v>
      </c>
      <c r="J70" s="69">
        <v>0</v>
      </c>
      <c r="K70" s="52">
        <v>62.5</v>
      </c>
      <c r="L70" s="114">
        <v>17.52</v>
      </c>
      <c r="M70" s="113">
        <v>23.56</v>
      </c>
      <c r="N70" s="52" t="str">
        <f t="shared" si="11"/>
        <v>16 (0.016 secs)</v>
      </c>
      <c r="O70" s="52" t="str">
        <f t="shared" si="11"/>
        <v>16 (0.016 secs)</v>
      </c>
      <c r="P70" s="52" t="str">
        <f t="shared" si="10"/>
        <v>16 (0.016 secs)</v>
      </c>
      <c r="Q70" s="52" t="str">
        <f t="shared" si="10"/>
        <v>16 (0.016 secs)</v>
      </c>
      <c r="R70" s="52" t="str">
        <f t="shared" si="10"/>
        <v>16 (0.016 secs)</v>
      </c>
      <c r="S70" s="52" t="str">
        <f t="shared" si="10"/>
        <v>16 (0.016 secs)</v>
      </c>
      <c r="T70" s="52" t="str">
        <f t="shared" si="10"/>
        <v>16 (0.016 secs)</v>
      </c>
      <c r="U70" s="115"/>
    </row>
    <row r="71" spans="1:21">
      <c r="A71" s="112" t="s">
        <v>40</v>
      </c>
      <c r="B71" s="113">
        <v>1</v>
      </c>
      <c r="C71" s="113">
        <v>11</v>
      </c>
      <c r="D71" s="113">
        <v>11</v>
      </c>
      <c r="E71" s="113">
        <v>11</v>
      </c>
      <c r="F71" s="113">
        <v>11</v>
      </c>
      <c r="G71" s="113">
        <v>11</v>
      </c>
      <c r="H71" s="113">
        <v>11</v>
      </c>
      <c r="I71" s="113">
        <v>11</v>
      </c>
      <c r="J71" s="69">
        <v>0</v>
      </c>
      <c r="K71" s="52">
        <v>90.909090000000006</v>
      </c>
      <c r="L71" s="114">
        <v>25.92</v>
      </c>
      <c r="M71" s="113">
        <v>32.85</v>
      </c>
      <c r="N71" s="52" t="str">
        <f t="shared" si="11"/>
        <v>11 (0.011 secs)</v>
      </c>
      <c r="O71" s="52" t="str">
        <f t="shared" si="11"/>
        <v>11 (0.011 secs)</v>
      </c>
      <c r="P71" s="52" t="str">
        <f t="shared" si="10"/>
        <v>11 (0.011 secs)</v>
      </c>
      <c r="Q71" s="52" t="str">
        <f t="shared" si="10"/>
        <v>11 (0.011 secs)</v>
      </c>
      <c r="R71" s="52" t="str">
        <f t="shared" si="10"/>
        <v>11 (0.011 secs)</v>
      </c>
      <c r="S71" s="52" t="str">
        <f t="shared" si="10"/>
        <v>11 (0.011 secs)</v>
      </c>
      <c r="T71" s="52" t="str">
        <f t="shared" si="10"/>
        <v>11 (0.011 secs)</v>
      </c>
      <c r="U71" s="115"/>
    </row>
    <row r="72" spans="1:21" ht="15" thickBot="1">
      <c r="A72" s="116" t="s">
        <v>128</v>
      </c>
      <c r="B72" s="117">
        <v>4</v>
      </c>
      <c r="C72" s="117">
        <v>2080</v>
      </c>
      <c r="D72" s="117">
        <v>16</v>
      </c>
      <c r="E72" s="117">
        <v>8276</v>
      </c>
      <c r="F72" s="117">
        <v>8276</v>
      </c>
      <c r="G72" s="117">
        <v>8276</v>
      </c>
      <c r="H72" s="117">
        <v>11</v>
      </c>
      <c r="I72" s="117">
        <v>8276</v>
      </c>
      <c r="J72" s="79">
        <v>0</v>
      </c>
      <c r="K72" s="53">
        <v>0.46948000000000001</v>
      </c>
      <c r="L72" s="118">
        <v>0.33</v>
      </c>
      <c r="M72" s="117">
        <v>0.18</v>
      </c>
      <c r="N72" s="53" t="str">
        <f t="shared" si="11"/>
        <v>2080 (2.080 secs)</v>
      </c>
      <c r="O72" s="53" t="str">
        <f t="shared" si="11"/>
        <v>16 (0.016 secs)</v>
      </c>
      <c r="P72" s="53" t="str">
        <f t="shared" si="10"/>
        <v>8276 (8.276 secs)</v>
      </c>
      <c r="Q72" s="53" t="str">
        <f t="shared" si="10"/>
        <v>8276 (8.276 secs)</v>
      </c>
      <c r="R72" s="53" t="str">
        <f t="shared" si="10"/>
        <v>8276 (8.276 secs)</v>
      </c>
      <c r="S72" s="53" t="str">
        <f t="shared" si="10"/>
        <v>11 (0.011 secs)</v>
      </c>
      <c r="T72" s="53" t="str">
        <f t="shared" si="10"/>
        <v>8276 (8.276 secs)</v>
      </c>
      <c r="U72" s="119"/>
    </row>
    <row r="74" spans="1:21">
      <c r="A74" s="101" t="s">
        <v>52</v>
      </c>
      <c r="B74" s="102" t="s">
        <v>53</v>
      </c>
      <c r="C74" s="105"/>
      <c r="D74" s="104"/>
      <c r="E74" s="105"/>
      <c r="F74" s="105"/>
      <c r="G74" s="105"/>
      <c r="H74" s="105"/>
      <c r="I74" s="105"/>
      <c r="J74" s="105"/>
      <c r="K74" s="105"/>
      <c r="N74" s="121"/>
      <c r="O74" s="86"/>
      <c r="P74" s="86"/>
      <c r="Q74" s="86"/>
      <c r="R74" s="86"/>
      <c r="S74" s="86"/>
      <c r="T74" s="130"/>
    </row>
    <row r="75" spans="1:21">
      <c r="A75" s="134" t="s">
        <v>13</v>
      </c>
      <c r="B75" s="107" t="s">
        <v>169</v>
      </c>
      <c r="C75" s="104"/>
      <c r="D75" s="104"/>
      <c r="E75" s="105"/>
      <c r="F75" s="105"/>
      <c r="G75" s="105"/>
      <c r="H75" s="105"/>
      <c r="I75" s="105"/>
      <c r="J75" s="105"/>
      <c r="K75" s="105"/>
      <c r="N75" s="121"/>
      <c r="O75" s="86"/>
      <c r="P75" s="86"/>
      <c r="Q75" s="86"/>
      <c r="R75" s="86"/>
      <c r="S75" s="86"/>
      <c r="T75" s="130"/>
    </row>
    <row r="76" spans="1:21">
      <c r="A76" s="135"/>
      <c r="B76" s="129"/>
      <c r="D76" s="86"/>
      <c r="N76" s="121"/>
      <c r="O76" s="86"/>
      <c r="P76" s="86"/>
      <c r="Q76" s="86"/>
      <c r="R76" s="86"/>
      <c r="S76" s="86"/>
      <c r="T76" s="130"/>
    </row>
    <row r="77" spans="1:21">
      <c r="A77" s="108" t="s">
        <v>114</v>
      </c>
      <c r="B77" s="109" t="s">
        <v>115</v>
      </c>
      <c r="C77" s="109" t="s">
        <v>116</v>
      </c>
      <c r="D77" s="109" t="s">
        <v>117</v>
      </c>
      <c r="E77" s="109" t="s">
        <v>118</v>
      </c>
      <c r="F77" s="109" t="s">
        <v>119</v>
      </c>
      <c r="G77" s="109" t="s">
        <v>120</v>
      </c>
      <c r="H77" s="109" t="s">
        <v>121</v>
      </c>
      <c r="I77" s="109" t="s">
        <v>122</v>
      </c>
      <c r="J77" s="109" t="s">
        <v>123</v>
      </c>
      <c r="K77" s="109" t="s">
        <v>143</v>
      </c>
      <c r="L77" s="109" t="s">
        <v>125</v>
      </c>
      <c r="M77" s="109" t="s">
        <v>126</v>
      </c>
      <c r="N77" s="109" t="s">
        <v>116</v>
      </c>
      <c r="O77" s="109" t="s">
        <v>117</v>
      </c>
      <c r="P77" s="109" t="s">
        <v>118</v>
      </c>
      <c r="Q77" s="109" t="s">
        <v>119</v>
      </c>
      <c r="R77" s="109" t="s">
        <v>120</v>
      </c>
      <c r="S77" s="109" t="s">
        <v>121</v>
      </c>
      <c r="T77" s="109" t="s">
        <v>122</v>
      </c>
      <c r="U77" s="110" t="s">
        <v>127</v>
      </c>
    </row>
    <row r="78" spans="1:21">
      <c r="A78" s="112" t="s">
        <v>33</v>
      </c>
      <c r="B78" s="113">
        <v>1</v>
      </c>
      <c r="C78" s="113">
        <v>54862</v>
      </c>
      <c r="D78" s="113">
        <v>54862</v>
      </c>
      <c r="E78" s="113">
        <v>54862</v>
      </c>
      <c r="F78" s="113">
        <v>54862</v>
      </c>
      <c r="G78" s="113">
        <v>54862</v>
      </c>
      <c r="H78" s="113">
        <v>54862</v>
      </c>
      <c r="I78" s="113">
        <v>54862</v>
      </c>
      <c r="J78" s="69">
        <v>0</v>
      </c>
      <c r="K78" s="52">
        <v>1.823E-2</v>
      </c>
      <c r="L78" s="114">
        <v>0</v>
      </c>
      <c r="M78" s="113">
        <v>0.01</v>
      </c>
      <c r="N78" s="50" t="str">
        <f>C78&amp;" ("&amp;TEXT(C78/1000,"0.000")&amp;" secs)"</f>
        <v>54862 (54.862 secs)</v>
      </c>
      <c r="O78" s="52" t="str">
        <f>D78&amp;" ("&amp;TEXT(D78/1000,"0.000")&amp;" secs)"</f>
        <v>54862 (54.862 secs)</v>
      </c>
      <c r="P78" s="52" t="str">
        <f t="shared" ref="P78:T82" si="12">E78&amp;" ("&amp;TEXT(E78/1000,"0.000")&amp;" secs)"</f>
        <v>54862 (54.862 secs)</v>
      </c>
      <c r="Q78" s="52" t="str">
        <f t="shared" si="12"/>
        <v>54862 (54.862 secs)</v>
      </c>
      <c r="R78" s="52" t="str">
        <f t="shared" si="12"/>
        <v>54862 (54.862 secs)</v>
      </c>
      <c r="S78" s="52" t="str">
        <f t="shared" si="12"/>
        <v>54862 (54.862 secs)</v>
      </c>
      <c r="T78" s="52" t="str">
        <f t="shared" si="12"/>
        <v>54862 (54.862 secs)</v>
      </c>
      <c r="U78" s="115" t="s">
        <v>146</v>
      </c>
    </row>
    <row r="79" spans="1:21">
      <c r="A79" s="112" t="s">
        <v>38</v>
      </c>
      <c r="B79" s="113">
        <v>1</v>
      </c>
      <c r="C79" s="113">
        <v>29</v>
      </c>
      <c r="D79" s="113">
        <v>29</v>
      </c>
      <c r="E79" s="113">
        <v>29</v>
      </c>
      <c r="F79" s="113">
        <v>29</v>
      </c>
      <c r="G79" s="113">
        <v>29</v>
      </c>
      <c r="H79" s="113">
        <v>29</v>
      </c>
      <c r="I79" s="113">
        <v>29</v>
      </c>
      <c r="J79" s="69">
        <v>0</v>
      </c>
      <c r="K79" s="52">
        <v>34.482759999999999</v>
      </c>
      <c r="L79" s="114">
        <v>84.12</v>
      </c>
      <c r="M79" s="113">
        <v>11.58</v>
      </c>
      <c r="N79" s="52" t="str">
        <f t="shared" ref="N79:O82" si="13">C79&amp;" ("&amp;TEXT(C79/1000,"0.000")&amp;" secs)"</f>
        <v>29 (0.029 secs)</v>
      </c>
      <c r="O79" s="52" t="str">
        <f t="shared" si="13"/>
        <v>29 (0.029 secs)</v>
      </c>
      <c r="P79" s="52" t="str">
        <f t="shared" si="12"/>
        <v>29 (0.029 secs)</v>
      </c>
      <c r="Q79" s="52" t="str">
        <f t="shared" si="12"/>
        <v>29 (0.029 secs)</v>
      </c>
      <c r="R79" s="52" t="str">
        <f t="shared" si="12"/>
        <v>29 (0.029 secs)</v>
      </c>
      <c r="S79" s="52" t="str">
        <f t="shared" si="12"/>
        <v>29 (0.029 secs)</v>
      </c>
      <c r="T79" s="52" t="str">
        <f t="shared" si="12"/>
        <v>29 (0.029 secs)</v>
      </c>
      <c r="U79" s="115"/>
    </row>
    <row r="80" spans="1:21">
      <c r="A80" s="112" t="s">
        <v>39</v>
      </c>
      <c r="B80" s="113">
        <v>1</v>
      </c>
      <c r="C80" s="113">
        <v>16</v>
      </c>
      <c r="D80" s="113">
        <v>16</v>
      </c>
      <c r="E80" s="113">
        <v>16</v>
      </c>
      <c r="F80" s="113">
        <v>16</v>
      </c>
      <c r="G80" s="113">
        <v>16</v>
      </c>
      <c r="H80" s="113">
        <v>16</v>
      </c>
      <c r="I80" s="113">
        <v>16</v>
      </c>
      <c r="J80" s="69">
        <v>0</v>
      </c>
      <c r="K80" s="52">
        <v>62.5</v>
      </c>
      <c r="L80" s="114">
        <v>36.5</v>
      </c>
      <c r="M80" s="113">
        <v>23.56</v>
      </c>
      <c r="N80" s="52" t="str">
        <f t="shared" si="13"/>
        <v>16 (0.016 secs)</v>
      </c>
      <c r="O80" s="52" t="str">
        <f t="shared" si="13"/>
        <v>16 (0.016 secs)</v>
      </c>
      <c r="P80" s="52" t="str">
        <f t="shared" si="12"/>
        <v>16 (0.016 secs)</v>
      </c>
      <c r="Q80" s="52" t="str">
        <f t="shared" si="12"/>
        <v>16 (0.016 secs)</v>
      </c>
      <c r="R80" s="52" t="str">
        <f t="shared" si="12"/>
        <v>16 (0.016 secs)</v>
      </c>
      <c r="S80" s="52" t="str">
        <f t="shared" si="12"/>
        <v>16 (0.016 secs)</v>
      </c>
      <c r="T80" s="52" t="str">
        <f t="shared" si="12"/>
        <v>16 (0.016 secs)</v>
      </c>
      <c r="U80" s="115"/>
    </row>
    <row r="81" spans="1:21">
      <c r="A81" s="112" t="s">
        <v>40</v>
      </c>
      <c r="B81" s="113">
        <v>1</v>
      </c>
      <c r="C81" s="113">
        <v>12</v>
      </c>
      <c r="D81" s="113">
        <v>12</v>
      </c>
      <c r="E81" s="113">
        <v>12</v>
      </c>
      <c r="F81" s="113">
        <v>12</v>
      </c>
      <c r="G81" s="113">
        <v>12</v>
      </c>
      <c r="H81" s="113">
        <v>12</v>
      </c>
      <c r="I81" s="113">
        <v>12</v>
      </c>
      <c r="J81" s="69">
        <v>0</v>
      </c>
      <c r="K81" s="52">
        <v>83.333330000000004</v>
      </c>
      <c r="L81" s="114">
        <v>42.15</v>
      </c>
      <c r="M81" s="113">
        <v>30.11</v>
      </c>
      <c r="N81" s="52" t="str">
        <f t="shared" si="13"/>
        <v>12 (0.012 secs)</v>
      </c>
      <c r="O81" s="52" t="str">
        <f t="shared" si="13"/>
        <v>12 (0.012 secs)</v>
      </c>
      <c r="P81" s="52" t="str">
        <f t="shared" si="12"/>
        <v>12 (0.012 secs)</v>
      </c>
      <c r="Q81" s="52" t="str">
        <f t="shared" si="12"/>
        <v>12 (0.012 secs)</v>
      </c>
      <c r="R81" s="52" t="str">
        <f t="shared" si="12"/>
        <v>12 (0.012 secs)</v>
      </c>
      <c r="S81" s="52" t="str">
        <f t="shared" si="12"/>
        <v>12 (0.012 secs)</v>
      </c>
      <c r="T81" s="52" t="str">
        <f t="shared" si="12"/>
        <v>12 (0.012 secs)</v>
      </c>
      <c r="U81" s="115"/>
    </row>
    <row r="82" spans="1:21" ht="15" thickBot="1">
      <c r="A82" s="116" t="s">
        <v>128</v>
      </c>
      <c r="B82" s="117">
        <v>4</v>
      </c>
      <c r="C82" s="117">
        <v>13729</v>
      </c>
      <c r="D82" s="117">
        <v>16</v>
      </c>
      <c r="E82" s="117">
        <v>54862</v>
      </c>
      <c r="F82" s="117">
        <v>54862</v>
      </c>
      <c r="G82" s="117">
        <v>54862</v>
      </c>
      <c r="H82" s="117">
        <v>12</v>
      </c>
      <c r="I82" s="117">
        <v>54862</v>
      </c>
      <c r="J82" s="79">
        <v>0</v>
      </c>
      <c r="K82" s="53">
        <v>7.2679999999999995E-2</v>
      </c>
      <c r="L82" s="118">
        <v>7.0000000000000007E-2</v>
      </c>
      <c r="M82" s="117">
        <v>0.03</v>
      </c>
      <c r="N82" s="57" t="str">
        <f t="shared" si="13"/>
        <v>13729 (13.729 secs)</v>
      </c>
      <c r="O82" s="53" t="str">
        <f t="shared" si="13"/>
        <v>16 (0.016 secs)</v>
      </c>
      <c r="P82" s="53" t="str">
        <f t="shared" si="12"/>
        <v>54862 (54.862 secs)</v>
      </c>
      <c r="Q82" s="53" t="str">
        <f t="shared" si="12"/>
        <v>54862 (54.862 secs)</v>
      </c>
      <c r="R82" s="53" t="str">
        <f t="shared" si="12"/>
        <v>54862 (54.862 secs)</v>
      </c>
      <c r="S82" s="53" t="str">
        <f t="shared" si="12"/>
        <v>12 (0.012 secs)</v>
      </c>
      <c r="T82" s="53" t="str">
        <f t="shared" si="12"/>
        <v>54862 (54.862 secs)</v>
      </c>
      <c r="U82" s="119"/>
    </row>
    <row r="84" spans="1:21">
      <c r="A84" s="101" t="s">
        <v>55</v>
      </c>
      <c r="B84" s="102" t="s">
        <v>147</v>
      </c>
      <c r="C84" s="105"/>
      <c r="D84" s="104"/>
      <c r="E84" s="105"/>
      <c r="F84" s="105"/>
      <c r="G84" s="105"/>
      <c r="H84" s="105"/>
      <c r="I84" s="105"/>
      <c r="J84" s="105"/>
      <c r="K84" s="105"/>
      <c r="N84" s="121"/>
      <c r="O84" s="86"/>
      <c r="P84" s="86"/>
      <c r="Q84" s="86"/>
      <c r="R84" s="86"/>
      <c r="S84" s="86"/>
      <c r="T84" s="130"/>
    </row>
    <row r="85" spans="1:21">
      <c r="A85" s="134" t="s">
        <v>13</v>
      </c>
      <c r="B85" s="107" t="s">
        <v>170</v>
      </c>
      <c r="C85" s="104"/>
      <c r="D85" s="104"/>
      <c r="E85" s="105"/>
      <c r="F85" s="105"/>
      <c r="G85" s="105"/>
      <c r="H85" s="105"/>
      <c r="I85" s="105"/>
      <c r="J85" s="105"/>
      <c r="K85" s="105"/>
      <c r="N85" s="121"/>
      <c r="O85" s="86"/>
      <c r="P85" s="86"/>
      <c r="Q85" s="86"/>
      <c r="R85" s="86"/>
      <c r="S85" s="86"/>
      <c r="T85" s="130"/>
    </row>
    <row r="86" spans="1:21">
      <c r="A86" s="135"/>
      <c r="B86" s="129"/>
      <c r="D86" s="86"/>
      <c r="N86" s="121"/>
      <c r="O86" s="86"/>
      <c r="P86" s="86"/>
      <c r="Q86" s="86"/>
      <c r="R86" s="86"/>
      <c r="S86" s="86"/>
      <c r="T86" s="130"/>
    </row>
    <row r="87" spans="1:21">
      <c r="A87" s="108" t="s">
        <v>114</v>
      </c>
      <c r="B87" s="109" t="s">
        <v>115</v>
      </c>
      <c r="C87" s="109" t="s">
        <v>116</v>
      </c>
      <c r="D87" s="109" t="s">
        <v>117</v>
      </c>
      <c r="E87" s="109" t="s">
        <v>118</v>
      </c>
      <c r="F87" s="109" t="s">
        <v>119</v>
      </c>
      <c r="G87" s="109" t="s">
        <v>120</v>
      </c>
      <c r="H87" s="109" t="s">
        <v>121</v>
      </c>
      <c r="I87" s="109" t="s">
        <v>122</v>
      </c>
      <c r="J87" s="109" t="s">
        <v>123</v>
      </c>
      <c r="K87" s="109" t="s">
        <v>143</v>
      </c>
      <c r="L87" s="109" t="s">
        <v>125</v>
      </c>
      <c r="M87" s="109" t="s">
        <v>126</v>
      </c>
      <c r="N87" s="109" t="s">
        <v>116</v>
      </c>
      <c r="O87" s="109" t="s">
        <v>117</v>
      </c>
      <c r="P87" s="109" t="s">
        <v>118</v>
      </c>
      <c r="Q87" s="109" t="s">
        <v>119</v>
      </c>
      <c r="R87" s="109" t="s">
        <v>120</v>
      </c>
      <c r="S87" s="109" t="s">
        <v>121</v>
      </c>
      <c r="T87" s="109" t="s">
        <v>122</v>
      </c>
      <c r="U87" s="110" t="s">
        <v>127</v>
      </c>
    </row>
    <row r="88" spans="1:21">
      <c r="A88" s="112" t="s">
        <v>33</v>
      </c>
      <c r="B88" s="113">
        <v>1</v>
      </c>
      <c r="C88" s="113">
        <v>3244612</v>
      </c>
      <c r="D88" s="113">
        <v>3244612</v>
      </c>
      <c r="E88" s="113">
        <v>3244612</v>
      </c>
      <c r="F88" s="113">
        <v>3244612</v>
      </c>
      <c r="G88" s="113">
        <v>3244612</v>
      </c>
      <c r="H88" s="113">
        <v>3244612</v>
      </c>
      <c r="I88" s="113">
        <v>3244612</v>
      </c>
      <c r="J88" s="69">
        <v>0</v>
      </c>
      <c r="K88" s="52">
        <v>3.1E-4</v>
      </c>
      <c r="L88" s="114">
        <v>0</v>
      </c>
      <c r="M88" s="113">
        <v>0</v>
      </c>
      <c r="N88" s="50" t="str">
        <f>C88&amp;" ("&amp;TEXT(C88/60000,"0.000")&amp;" mins)"</f>
        <v>3244612 (54.077 mins)</v>
      </c>
      <c r="O88" s="52" t="str">
        <f t="shared" ref="O88:T88" si="14">D88&amp;" ("&amp;TEXT(D88/60000,"0.000")&amp;" mins)"</f>
        <v>3244612 (54.077 mins)</v>
      </c>
      <c r="P88" s="52" t="str">
        <f t="shared" si="14"/>
        <v>3244612 (54.077 mins)</v>
      </c>
      <c r="Q88" s="52" t="str">
        <f t="shared" si="14"/>
        <v>3244612 (54.077 mins)</v>
      </c>
      <c r="R88" s="52" t="str">
        <f t="shared" si="14"/>
        <v>3244612 (54.077 mins)</v>
      </c>
      <c r="S88" s="52" t="str">
        <f t="shared" si="14"/>
        <v>3244612 (54.077 mins)</v>
      </c>
      <c r="T88" s="52" t="str">
        <f t="shared" si="14"/>
        <v>3244612 (54.077 mins)</v>
      </c>
      <c r="U88" s="115" t="s">
        <v>146</v>
      </c>
    </row>
    <row r="89" spans="1:21">
      <c r="A89" s="112" t="s">
        <v>38</v>
      </c>
      <c r="B89" s="113">
        <v>1</v>
      </c>
      <c r="C89" s="113">
        <v>26</v>
      </c>
      <c r="D89" s="113">
        <v>26</v>
      </c>
      <c r="E89" s="113">
        <v>26</v>
      </c>
      <c r="F89" s="113">
        <v>26</v>
      </c>
      <c r="G89" s="113">
        <v>26</v>
      </c>
      <c r="H89" s="113">
        <v>26</v>
      </c>
      <c r="I89" s="113">
        <v>26</v>
      </c>
      <c r="J89" s="69">
        <v>0</v>
      </c>
      <c r="K89" s="52">
        <v>38.461539999999999</v>
      </c>
      <c r="L89" s="114">
        <v>108.47</v>
      </c>
      <c r="M89" s="113">
        <v>12.92</v>
      </c>
      <c r="N89" s="52" t="str">
        <f t="shared" ref="N89:T92" si="15">C89&amp;" ("&amp;TEXT(C89/1000,"0.000")&amp;" secs)"</f>
        <v>26 (0.026 secs)</v>
      </c>
      <c r="O89" s="52" t="str">
        <f t="shared" si="15"/>
        <v>26 (0.026 secs)</v>
      </c>
      <c r="P89" s="52" t="str">
        <f t="shared" si="15"/>
        <v>26 (0.026 secs)</v>
      </c>
      <c r="Q89" s="52" t="str">
        <f t="shared" si="15"/>
        <v>26 (0.026 secs)</v>
      </c>
      <c r="R89" s="52" t="str">
        <f t="shared" si="15"/>
        <v>26 (0.026 secs)</v>
      </c>
      <c r="S89" s="52" t="str">
        <f t="shared" si="15"/>
        <v>26 (0.026 secs)</v>
      </c>
      <c r="T89" s="52" t="str">
        <f t="shared" si="15"/>
        <v>26 (0.026 secs)</v>
      </c>
      <c r="U89" s="115"/>
    </row>
    <row r="90" spans="1:21">
      <c r="A90" s="112" t="s">
        <v>39</v>
      </c>
      <c r="B90" s="113">
        <v>1</v>
      </c>
      <c r="C90" s="113">
        <v>18</v>
      </c>
      <c r="D90" s="113">
        <v>18</v>
      </c>
      <c r="E90" s="113">
        <v>18</v>
      </c>
      <c r="F90" s="113">
        <v>18</v>
      </c>
      <c r="G90" s="113">
        <v>18</v>
      </c>
      <c r="H90" s="113">
        <v>18</v>
      </c>
      <c r="I90" s="113">
        <v>18</v>
      </c>
      <c r="J90" s="69">
        <v>0</v>
      </c>
      <c r="K90" s="52">
        <v>55.55556</v>
      </c>
      <c r="L90" s="114">
        <v>12.37</v>
      </c>
      <c r="M90" s="113">
        <v>20.94</v>
      </c>
      <c r="N90" s="52" t="str">
        <f t="shared" si="15"/>
        <v>18 (0.018 secs)</v>
      </c>
      <c r="O90" s="52" t="str">
        <f t="shared" si="15"/>
        <v>18 (0.018 secs)</v>
      </c>
      <c r="P90" s="52" t="str">
        <f t="shared" si="15"/>
        <v>18 (0.018 secs)</v>
      </c>
      <c r="Q90" s="52" t="str">
        <f t="shared" si="15"/>
        <v>18 (0.018 secs)</v>
      </c>
      <c r="R90" s="52" t="str">
        <f t="shared" si="15"/>
        <v>18 (0.018 secs)</v>
      </c>
      <c r="S90" s="52" t="str">
        <f t="shared" si="15"/>
        <v>18 (0.018 secs)</v>
      </c>
      <c r="T90" s="52" t="str">
        <f t="shared" si="15"/>
        <v>18 (0.018 secs)</v>
      </c>
      <c r="U90" s="115"/>
    </row>
    <row r="91" spans="1:21">
      <c r="A91" s="112" t="s">
        <v>40</v>
      </c>
      <c r="B91" s="113">
        <v>1</v>
      </c>
      <c r="C91" s="113">
        <v>14</v>
      </c>
      <c r="D91" s="113">
        <v>14</v>
      </c>
      <c r="E91" s="113">
        <v>14</v>
      </c>
      <c r="F91" s="113">
        <v>14</v>
      </c>
      <c r="G91" s="113">
        <v>14</v>
      </c>
      <c r="H91" s="113">
        <v>14</v>
      </c>
      <c r="I91" s="113">
        <v>14</v>
      </c>
      <c r="J91" s="69">
        <v>0</v>
      </c>
      <c r="K91" s="52">
        <v>71.428569999999993</v>
      </c>
      <c r="L91" s="114">
        <v>19.11</v>
      </c>
      <c r="M91" s="113">
        <v>25.74</v>
      </c>
      <c r="N91" s="52" t="str">
        <f t="shared" si="15"/>
        <v>14 (0.014 secs)</v>
      </c>
      <c r="O91" s="52" t="str">
        <f t="shared" si="15"/>
        <v>14 (0.014 secs)</v>
      </c>
      <c r="P91" s="52" t="str">
        <f t="shared" si="15"/>
        <v>14 (0.014 secs)</v>
      </c>
      <c r="Q91" s="52" t="str">
        <f t="shared" si="15"/>
        <v>14 (0.014 secs)</v>
      </c>
      <c r="R91" s="52" t="str">
        <f t="shared" si="15"/>
        <v>14 (0.014 secs)</v>
      </c>
      <c r="S91" s="52" t="str">
        <f t="shared" si="15"/>
        <v>14 (0.014 secs)</v>
      </c>
      <c r="T91" s="52" t="str">
        <f t="shared" si="15"/>
        <v>14 (0.014 secs)</v>
      </c>
      <c r="U91" s="115"/>
    </row>
    <row r="92" spans="1:21" ht="15" thickBot="1">
      <c r="A92" s="116" t="s">
        <v>128</v>
      </c>
      <c r="B92" s="117">
        <v>4</v>
      </c>
      <c r="C92" s="117">
        <v>811167</v>
      </c>
      <c r="D92" s="117">
        <v>18</v>
      </c>
      <c r="E92" s="117">
        <v>3244612</v>
      </c>
      <c r="F92" s="117">
        <v>3244612</v>
      </c>
      <c r="G92" s="117">
        <v>3244612</v>
      </c>
      <c r="H92" s="117">
        <v>14</v>
      </c>
      <c r="I92" s="117">
        <v>3244612</v>
      </c>
      <c r="J92" s="79">
        <v>0</v>
      </c>
      <c r="K92" s="53">
        <v>1.23E-3</v>
      </c>
      <c r="L92" s="118">
        <v>0</v>
      </c>
      <c r="M92" s="117">
        <v>0</v>
      </c>
      <c r="N92" s="57" t="str">
        <f>C92&amp;" ("&amp;TEXT(C92/60000,"0.000")&amp;" mins)"</f>
        <v>811167 (13.519 mins)</v>
      </c>
      <c r="O92" s="53" t="str">
        <f t="shared" si="15"/>
        <v>18 (0.018 secs)</v>
      </c>
      <c r="P92" s="53" t="str">
        <f>E92&amp;" ("&amp;TEXT(E92/60000,"0.000")&amp;" mins)"</f>
        <v>3244612 (54.077 mins)</v>
      </c>
      <c r="Q92" s="53" t="str">
        <f t="shared" ref="Q92:T92" si="16">F92&amp;" ("&amp;TEXT(F92/60000,"0.000")&amp;" mins)"</f>
        <v>3244612 (54.077 mins)</v>
      </c>
      <c r="R92" s="53" t="str">
        <f t="shared" si="16"/>
        <v>3244612 (54.077 mins)</v>
      </c>
      <c r="S92" s="53" t="str">
        <f t="shared" si="16"/>
        <v>14 (0.000 mins)</v>
      </c>
      <c r="T92" s="53" t="str">
        <f t="shared" si="16"/>
        <v>3244612 (54.077 mins)</v>
      </c>
      <c r="U92" s="119"/>
    </row>
    <row r="93" spans="1:21">
      <c r="J93" s="120"/>
      <c r="K93" s="146"/>
      <c r="L93" s="147"/>
      <c r="N93" s="148"/>
      <c r="O93" s="146"/>
      <c r="P93" s="146"/>
      <c r="Q93" s="146"/>
      <c r="R93" s="146"/>
      <c r="S93" s="146"/>
      <c r="T93" s="149"/>
    </row>
    <row r="94" spans="1:21">
      <c r="A94" s="101" t="s">
        <v>171</v>
      </c>
      <c r="B94" s="102" t="s">
        <v>172</v>
      </c>
      <c r="C94" s="105"/>
      <c r="D94" s="104"/>
      <c r="E94" s="105"/>
      <c r="F94" s="105"/>
      <c r="G94" s="105"/>
      <c r="H94" s="105"/>
      <c r="I94" s="105"/>
      <c r="J94" s="105"/>
      <c r="K94" s="105"/>
      <c r="N94" s="121"/>
      <c r="O94" s="86"/>
      <c r="P94" s="86"/>
      <c r="Q94" s="86"/>
      <c r="R94" s="86"/>
      <c r="S94" s="86"/>
      <c r="T94" s="130"/>
    </row>
    <row r="95" spans="1:21">
      <c r="A95" s="134" t="s">
        <v>13</v>
      </c>
      <c r="B95" s="107" t="s">
        <v>173</v>
      </c>
      <c r="C95" s="104"/>
      <c r="D95" s="104"/>
      <c r="E95" s="105"/>
      <c r="F95" s="105"/>
      <c r="G95" s="105"/>
      <c r="H95" s="105"/>
      <c r="I95" s="105"/>
      <c r="J95" s="105"/>
      <c r="K95" s="105"/>
      <c r="N95" s="121"/>
      <c r="O95" s="86"/>
      <c r="P95" s="86"/>
      <c r="Q95" s="86"/>
      <c r="R95" s="86"/>
      <c r="S95" s="86"/>
      <c r="T95" s="130"/>
    </row>
    <row r="96" spans="1:21">
      <c r="A96" s="135"/>
      <c r="B96" s="129"/>
      <c r="D96" s="86"/>
      <c r="N96" s="121"/>
      <c r="O96" s="86"/>
      <c r="P96" s="86"/>
      <c r="Q96" s="86"/>
      <c r="R96" s="86"/>
      <c r="S96" s="86"/>
      <c r="T96" s="130"/>
    </row>
    <row r="97" spans="1:21">
      <c r="A97" s="108" t="s">
        <v>114</v>
      </c>
      <c r="B97" s="109" t="s">
        <v>115</v>
      </c>
      <c r="C97" s="109" t="s">
        <v>116</v>
      </c>
      <c r="D97" s="109" t="s">
        <v>117</v>
      </c>
      <c r="E97" s="109" t="s">
        <v>118</v>
      </c>
      <c r="F97" s="109" t="s">
        <v>119</v>
      </c>
      <c r="G97" s="109" t="s">
        <v>120</v>
      </c>
      <c r="H97" s="109" t="s">
        <v>121</v>
      </c>
      <c r="I97" s="109" t="s">
        <v>122</v>
      </c>
      <c r="J97" s="109" t="s">
        <v>123</v>
      </c>
      <c r="K97" s="109" t="s">
        <v>143</v>
      </c>
      <c r="L97" s="109" t="s">
        <v>125</v>
      </c>
      <c r="M97" s="109" t="s">
        <v>126</v>
      </c>
      <c r="N97" s="109" t="s">
        <v>116</v>
      </c>
      <c r="O97" s="109" t="s">
        <v>117</v>
      </c>
      <c r="P97" s="109" t="s">
        <v>118</v>
      </c>
      <c r="Q97" s="109" t="s">
        <v>119</v>
      </c>
      <c r="R97" s="109" t="s">
        <v>120</v>
      </c>
      <c r="S97" s="109" t="s">
        <v>121</v>
      </c>
      <c r="T97" s="109" t="s">
        <v>122</v>
      </c>
      <c r="U97" s="110" t="s">
        <v>127</v>
      </c>
    </row>
    <row r="98" spans="1:21">
      <c r="A98" s="112" t="s">
        <v>33</v>
      </c>
      <c r="B98" s="113">
        <v>1</v>
      </c>
      <c r="C98" s="113">
        <v>3197639</v>
      </c>
      <c r="D98" s="113">
        <v>3197639</v>
      </c>
      <c r="E98" s="113">
        <v>3197639</v>
      </c>
      <c r="F98" s="113">
        <v>3197639</v>
      </c>
      <c r="G98" s="113">
        <v>3197639</v>
      </c>
      <c r="H98" s="113">
        <v>3197639</v>
      </c>
      <c r="I98" s="113">
        <v>3197639</v>
      </c>
      <c r="J98" s="69">
        <v>0</v>
      </c>
      <c r="K98" s="52">
        <v>3.1E-4</v>
      </c>
      <c r="L98" s="114">
        <v>0</v>
      </c>
      <c r="M98" s="113">
        <v>0</v>
      </c>
      <c r="N98" s="50" t="str">
        <f>C98&amp;" ("&amp;TEXT(C98/60000,"0.000")&amp;" mins)"</f>
        <v>3197639 (53.294 mins)</v>
      </c>
      <c r="O98" s="52" t="str">
        <f t="shared" ref="O98" si="17">D98&amp;" ("&amp;TEXT(D98/60000,"0.000")&amp;" mins)"</f>
        <v>3197639 (53.294 mins)</v>
      </c>
      <c r="P98" s="52" t="str">
        <f t="shared" ref="P98" si="18">E98&amp;" ("&amp;TEXT(E98/60000,"0.000")&amp;" mins)"</f>
        <v>3197639 (53.294 mins)</v>
      </c>
      <c r="Q98" s="52" t="str">
        <f t="shared" ref="Q98" si="19">F98&amp;" ("&amp;TEXT(F98/60000,"0.000")&amp;" mins)"</f>
        <v>3197639 (53.294 mins)</v>
      </c>
      <c r="R98" s="52" t="str">
        <f t="shared" ref="R98" si="20">G98&amp;" ("&amp;TEXT(G98/60000,"0.000")&amp;" mins)"</f>
        <v>3197639 (53.294 mins)</v>
      </c>
      <c r="S98" s="52" t="str">
        <f t="shared" ref="S98" si="21">H98&amp;" ("&amp;TEXT(H98/60000,"0.000")&amp;" mins)"</f>
        <v>3197639 (53.294 mins)</v>
      </c>
      <c r="T98" s="52" t="str">
        <f t="shared" ref="T98" si="22">I98&amp;" ("&amp;TEXT(I98/60000,"0.000")&amp;" mins)"</f>
        <v>3197639 (53.294 mins)</v>
      </c>
      <c r="U98" s="115" t="s">
        <v>146</v>
      </c>
    </row>
    <row r="99" spans="1:21">
      <c r="A99" s="112" t="s">
        <v>38</v>
      </c>
      <c r="B99" s="113">
        <v>1</v>
      </c>
      <c r="C99" s="113">
        <v>44</v>
      </c>
      <c r="D99" s="113">
        <v>44</v>
      </c>
      <c r="E99" s="113">
        <v>44</v>
      </c>
      <c r="F99" s="113">
        <v>44</v>
      </c>
      <c r="G99" s="113">
        <v>44</v>
      </c>
      <c r="H99" s="113">
        <v>44</v>
      </c>
      <c r="I99" s="113">
        <v>44</v>
      </c>
      <c r="J99" s="69">
        <v>0</v>
      </c>
      <c r="K99" s="52">
        <v>22.727270000000001</v>
      </c>
      <c r="L99" s="114">
        <v>187.34</v>
      </c>
      <c r="M99" s="113">
        <v>7.63</v>
      </c>
      <c r="N99" s="52" t="str">
        <f t="shared" ref="N99:N101" si="23">C99&amp;" ("&amp;TEXT(C99/1000,"0.000")&amp;" secs)"</f>
        <v>44 (0.044 secs)</v>
      </c>
      <c r="O99" s="52" t="str">
        <f t="shared" ref="O99:O102" si="24">D99&amp;" ("&amp;TEXT(D99/1000,"0.000")&amp;" secs)"</f>
        <v>44 (0.044 secs)</v>
      </c>
      <c r="P99" s="52" t="str">
        <f t="shared" ref="P99:P101" si="25">E99&amp;" ("&amp;TEXT(E99/1000,"0.000")&amp;" secs)"</f>
        <v>44 (0.044 secs)</v>
      </c>
      <c r="Q99" s="52" t="str">
        <f t="shared" ref="Q99:Q101" si="26">F99&amp;" ("&amp;TEXT(F99/1000,"0.000")&amp;" secs)"</f>
        <v>44 (0.044 secs)</v>
      </c>
      <c r="R99" s="52" t="str">
        <f t="shared" ref="R99:R101" si="27">G99&amp;" ("&amp;TEXT(G99/1000,"0.000")&amp;" secs)"</f>
        <v>44 (0.044 secs)</v>
      </c>
      <c r="S99" s="52" t="str">
        <f t="shared" ref="S99:S101" si="28">H99&amp;" ("&amp;TEXT(H99/1000,"0.000")&amp;" secs)"</f>
        <v>44 (0.044 secs)</v>
      </c>
      <c r="T99" s="52" t="str">
        <f t="shared" ref="T99:T101" si="29">I99&amp;" ("&amp;TEXT(I99/1000,"0.000")&amp;" secs)"</f>
        <v>44 (0.044 secs)</v>
      </c>
      <c r="U99" s="115"/>
    </row>
    <row r="100" spans="1:21">
      <c r="A100" s="112" t="s">
        <v>39</v>
      </c>
      <c r="B100" s="113">
        <v>1</v>
      </c>
      <c r="C100" s="113">
        <v>20</v>
      </c>
      <c r="D100" s="113">
        <v>20</v>
      </c>
      <c r="E100" s="113">
        <v>20</v>
      </c>
      <c r="F100" s="113">
        <v>20</v>
      </c>
      <c r="G100" s="113">
        <v>20</v>
      </c>
      <c r="H100" s="113">
        <v>20</v>
      </c>
      <c r="I100" s="113">
        <v>20</v>
      </c>
      <c r="J100" s="69">
        <v>0</v>
      </c>
      <c r="K100" s="52">
        <v>50</v>
      </c>
      <c r="L100" s="114">
        <v>11.13</v>
      </c>
      <c r="M100" s="113">
        <v>18.850000000000001</v>
      </c>
      <c r="N100" s="52" t="str">
        <f t="shared" si="23"/>
        <v>20 (0.020 secs)</v>
      </c>
      <c r="O100" s="52" t="str">
        <f t="shared" si="24"/>
        <v>20 (0.020 secs)</v>
      </c>
      <c r="P100" s="52" t="str">
        <f t="shared" si="25"/>
        <v>20 (0.020 secs)</v>
      </c>
      <c r="Q100" s="52" t="str">
        <f t="shared" si="26"/>
        <v>20 (0.020 secs)</v>
      </c>
      <c r="R100" s="52" t="str">
        <f t="shared" si="27"/>
        <v>20 (0.020 secs)</v>
      </c>
      <c r="S100" s="52" t="str">
        <f t="shared" si="28"/>
        <v>20 (0.020 secs)</v>
      </c>
      <c r="T100" s="52" t="str">
        <f t="shared" si="29"/>
        <v>20 (0.020 secs)</v>
      </c>
      <c r="U100" s="115"/>
    </row>
    <row r="101" spans="1:21">
      <c r="A101" s="112" t="s">
        <v>40</v>
      </c>
      <c r="B101" s="113">
        <v>1</v>
      </c>
      <c r="C101" s="113">
        <v>23</v>
      </c>
      <c r="D101" s="113">
        <v>23</v>
      </c>
      <c r="E101" s="113">
        <v>23</v>
      </c>
      <c r="F101" s="113">
        <v>23</v>
      </c>
      <c r="G101" s="113">
        <v>23</v>
      </c>
      <c r="H101" s="113">
        <v>23</v>
      </c>
      <c r="I101" s="113">
        <v>23</v>
      </c>
      <c r="J101" s="69">
        <v>0</v>
      </c>
      <c r="K101" s="52">
        <v>43.478259999999999</v>
      </c>
      <c r="L101" s="114">
        <v>11.42</v>
      </c>
      <c r="M101" s="113">
        <v>15.67</v>
      </c>
      <c r="N101" s="52" t="str">
        <f t="shared" si="23"/>
        <v>23 (0.023 secs)</v>
      </c>
      <c r="O101" s="52" t="str">
        <f t="shared" si="24"/>
        <v>23 (0.023 secs)</v>
      </c>
      <c r="P101" s="52" t="str">
        <f t="shared" si="25"/>
        <v>23 (0.023 secs)</v>
      </c>
      <c r="Q101" s="52" t="str">
        <f t="shared" si="26"/>
        <v>23 (0.023 secs)</v>
      </c>
      <c r="R101" s="52" t="str">
        <f t="shared" si="27"/>
        <v>23 (0.023 secs)</v>
      </c>
      <c r="S101" s="52" t="str">
        <f t="shared" si="28"/>
        <v>23 (0.023 secs)</v>
      </c>
      <c r="T101" s="52" t="str">
        <f t="shared" si="29"/>
        <v>23 (0.023 secs)</v>
      </c>
      <c r="U101" s="115"/>
    </row>
    <row r="102" spans="1:21" ht="15" thickBot="1">
      <c r="A102" s="116" t="s">
        <v>128</v>
      </c>
      <c r="B102" s="117">
        <v>4</v>
      </c>
      <c r="C102" s="117">
        <v>799431</v>
      </c>
      <c r="D102" s="117">
        <v>23</v>
      </c>
      <c r="E102" s="117">
        <v>3197639</v>
      </c>
      <c r="F102" s="117">
        <v>3197639</v>
      </c>
      <c r="G102" s="117">
        <v>3197639</v>
      </c>
      <c r="H102" s="117">
        <v>20</v>
      </c>
      <c r="I102" s="117">
        <v>3197639</v>
      </c>
      <c r="J102" s="79">
        <v>0</v>
      </c>
      <c r="K102" s="53">
        <v>1.25E-3</v>
      </c>
      <c r="L102" s="118">
        <v>0</v>
      </c>
      <c r="M102" s="117">
        <v>0</v>
      </c>
      <c r="N102" s="57" t="str">
        <f>C102&amp;" ("&amp;TEXT(C102/60000,"0.000")&amp;" mins)"</f>
        <v>799431 (13.324 mins)</v>
      </c>
      <c r="O102" s="53" t="str">
        <f t="shared" si="24"/>
        <v>23 (0.023 secs)</v>
      </c>
      <c r="P102" s="53" t="str">
        <f>E102&amp;" ("&amp;TEXT(E102/60000,"0.000")&amp;" mins)"</f>
        <v>3197639 (53.294 mins)</v>
      </c>
      <c r="Q102" s="53" t="str">
        <f t="shared" ref="Q102" si="30">F102&amp;" ("&amp;TEXT(F102/60000,"0.000")&amp;" mins)"</f>
        <v>3197639 (53.294 mins)</v>
      </c>
      <c r="R102" s="53" t="str">
        <f t="shared" ref="R102" si="31">G102&amp;" ("&amp;TEXT(G102/60000,"0.000")&amp;" mins)"</f>
        <v>3197639 (53.294 mins)</v>
      </c>
      <c r="S102" s="53" t="str">
        <f t="shared" ref="S102" si="32">H102&amp;" ("&amp;TEXT(H102/60000,"0.000")&amp;" mins)"</f>
        <v>20 (0.000 mins)</v>
      </c>
      <c r="T102" s="53" t="str">
        <f t="shared" ref="T102" si="33">I102&amp;" ("&amp;TEXT(I102/60000,"0.000")&amp;" mins)"</f>
        <v>3197639 (53.294 mins)</v>
      </c>
      <c r="U102" s="119"/>
    </row>
    <row r="104" spans="1:21">
      <c r="A104" s="101" t="s">
        <v>58</v>
      </c>
      <c r="B104" s="102" t="s">
        <v>59</v>
      </c>
      <c r="C104" s="105"/>
      <c r="D104" s="104"/>
      <c r="E104" s="105"/>
      <c r="F104" s="105"/>
      <c r="G104" s="105"/>
      <c r="H104" s="105"/>
      <c r="I104" s="105"/>
      <c r="J104" s="105"/>
      <c r="K104" s="105"/>
      <c r="N104" s="121"/>
      <c r="O104" s="86"/>
      <c r="P104" s="86"/>
      <c r="Q104" s="86"/>
      <c r="R104" s="86"/>
      <c r="S104" s="86"/>
      <c r="T104" s="130"/>
    </row>
    <row r="105" spans="1:21">
      <c r="A105" s="134" t="s">
        <v>13</v>
      </c>
      <c r="B105" s="107" t="s">
        <v>174</v>
      </c>
      <c r="C105" s="104"/>
      <c r="D105" s="104"/>
      <c r="E105" s="105"/>
      <c r="F105" s="105"/>
      <c r="G105" s="105"/>
      <c r="H105" s="105"/>
      <c r="I105" s="105"/>
      <c r="J105" s="105"/>
      <c r="K105" s="105"/>
      <c r="N105" s="121"/>
      <c r="O105" s="86"/>
      <c r="P105" s="86"/>
      <c r="Q105" s="86"/>
      <c r="R105" s="86"/>
      <c r="S105" s="86"/>
      <c r="T105" s="130"/>
    </row>
    <row r="106" spans="1:21">
      <c r="A106" s="135"/>
      <c r="B106" s="129"/>
      <c r="D106" s="86"/>
      <c r="N106" s="121"/>
      <c r="O106" s="86"/>
      <c r="P106" s="86"/>
      <c r="Q106" s="86"/>
      <c r="R106" s="86"/>
      <c r="S106" s="86"/>
      <c r="T106" s="130"/>
    </row>
    <row r="107" spans="1:21">
      <c r="A107" s="108" t="s">
        <v>114</v>
      </c>
      <c r="B107" s="109" t="s">
        <v>115</v>
      </c>
      <c r="C107" s="109" t="s">
        <v>116</v>
      </c>
      <c r="D107" s="109" t="s">
        <v>117</v>
      </c>
      <c r="E107" s="109" t="s">
        <v>118</v>
      </c>
      <c r="F107" s="109" t="s">
        <v>119</v>
      </c>
      <c r="G107" s="109" t="s">
        <v>120</v>
      </c>
      <c r="H107" s="109" t="s">
        <v>121</v>
      </c>
      <c r="I107" s="109" t="s">
        <v>122</v>
      </c>
      <c r="J107" s="109" t="s">
        <v>123</v>
      </c>
      <c r="K107" s="109" t="s">
        <v>143</v>
      </c>
      <c r="L107" s="109" t="s">
        <v>125</v>
      </c>
      <c r="M107" s="109" t="s">
        <v>126</v>
      </c>
      <c r="N107" s="109" t="s">
        <v>116</v>
      </c>
      <c r="O107" s="109" t="s">
        <v>117</v>
      </c>
      <c r="P107" s="109" t="s">
        <v>118</v>
      </c>
      <c r="Q107" s="109" t="s">
        <v>119</v>
      </c>
      <c r="R107" s="109" t="s">
        <v>120</v>
      </c>
      <c r="S107" s="109" t="s">
        <v>121</v>
      </c>
      <c r="T107" s="109" t="s">
        <v>122</v>
      </c>
      <c r="U107" s="110" t="s">
        <v>127</v>
      </c>
    </row>
    <row r="108" spans="1:21">
      <c r="A108" s="112" t="s">
        <v>33</v>
      </c>
      <c r="B108" s="113">
        <v>1</v>
      </c>
      <c r="C108" s="113">
        <v>27914</v>
      </c>
      <c r="D108" s="113">
        <v>27914</v>
      </c>
      <c r="E108" s="113">
        <v>27914</v>
      </c>
      <c r="F108" s="113">
        <v>27914</v>
      </c>
      <c r="G108" s="113">
        <v>27914</v>
      </c>
      <c r="H108" s="113">
        <v>27914</v>
      </c>
      <c r="I108" s="113">
        <v>27914</v>
      </c>
      <c r="J108" s="69">
        <v>0</v>
      </c>
      <c r="K108" s="52">
        <v>3.5819999999999998E-2</v>
      </c>
      <c r="L108" s="114">
        <v>0.01</v>
      </c>
      <c r="M108" s="113">
        <v>0.02</v>
      </c>
      <c r="N108" s="50" t="str">
        <f>C108&amp;" ("&amp;TEXT(C108/1000,"0.000")&amp;" secs)"</f>
        <v>27914 (27.914 secs)</v>
      </c>
      <c r="O108" s="52" t="str">
        <f>D108&amp;" ("&amp;TEXT(D108/1000,"0.000")&amp;" secs)"</f>
        <v>27914 (27.914 secs)</v>
      </c>
      <c r="P108" s="52" t="str">
        <f t="shared" ref="P108:T112" si="34">E108&amp;" ("&amp;TEXT(E108/1000,"0.000")&amp;" secs)"</f>
        <v>27914 (27.914 secs)</v>
      </c>
      <c r="Q108" s="52" t="str">
        <f t="shared" si="34"/>
        <v>27914 (27.914 secs)</v>
      </c>
      <c r="R108" s="52" t="str">
        <f t="shared" si="34"/>
        <v>27914 (27.914 secs)</v>
      </c>
      <c r="S108" s="52" t="str">
        <f t="shared" si="34"/>
        <v>27914 (27.914 secs)</v>
      </c>
      <c r="T108" s="52" t="str">
        <f t="shared" si="34"/>
        <v>27914 (27.914 secs)</v>
      </c>
      <c r="U108" s="115" t="s">
        <v>148</v>
      </c>
    </row>
    <row r="109" spans="1:21">
      <c r="A109" s="112" t="s">
        <v>38</v>
      </c>
      <c r="B109" s="113">
        <v>1</v>
      </c>
      <c r="C109" s="113">
        <v>23</v>
      </c>
      <c r="D109" s="113">
        <v>23</v>
      </c>
      <c r="E109" s="113">
        <v>23</v>
      </c>
      <c r="F109" s="113">
        <v>23</v>
      </c>
      <c r="G109" s="113">
        <v>23</v>
      </c>
      <c r="H109" s="113">
        <v>23</v>
      </c>
      <c r="I109" s="113">
        <v>23</v>
      </c>
      <c r="J109" s="69">
        <v>0</v>
      </c>
      <c r="K109" s="52">
        <v>43.478259999999999</v>
      </c>
      <c r="L109" s="114">
        <v>139.05000000000001</v>
      </c>
      <c r="M109" s="113">
        <v>14.61</v>
      </c>
      <c r="N109" s="52" t="str">
        <f t="shared" ref="N109:O112" si="35">C109&amp;" ("&amp;TEXT(C109/1000,"0.000")&amp;" secs)"</f>
        <v>23 (0.023 secs)</v>
      </c>
      <c r="O109" s="52" t="str">
        <f t="shared" si="35"/>
        <v>23 (0.023 secs)</v>
      </c>
      <c r="P109" s="52" t="str">
        <f t="shared" si="34"/>
        <v>23 (0.023 secs)</v>
      </c>
      <c r="Q109" s="52" t="str">
        <f t="shared" si="34"/>
        <v>23 (0.023 secs)</v>
      </c>
      <c r="R109" s="52" t="str">
        <f t="shared" si="34"/>
        <v>23 (0.023 secs)</v>
      </c>
      <c r="S109" s="52" t="str">
        <f t="shared" si="34"/>
        <v>23 (0.023 secs)</v>
      </c>
      <c r="T109" s="52" t="str">
        <f t="shared" si="34"/>
        <v>23 (0.023 secs)</v>
      </c>
      <c r="U109" s="115"/>
    </row>
    <row r="110" spans="1:21">
      <c r="A110" s="112" t="s">
        <v>39</v>
      </c>
      <c r="B110" s="113">
        <v>1</v>
      </c>
      <c r="C110" s="113">
        <v>13</v>
      </c>
      <c r="D110" s="113">
        <v>13</v>
      </c>
      <c r="E110" s="113">
        <v>13</v>
      </c>
      <c r="F110" s="113">
        <v>13</v>
      </c>
      <c r="G110" s="113">
        <v>13</v>
      </c>
      <c r="H110" s="113">
        <v>13</v>
      </c>
      <c r="I110" s="113">
        <v>13</v>
      </c>
      <c r="J110" s="69">
        <v>0</v>
      </c>
      <c r="K110" s="52">
        <v>76.923079999999999</v>
      </c>
      <c r="L110" s="114">
        <v>129.36000000000001</v>
      </c>
      <c r="M110" s="113">
        <v>29</v>
      </c>
      <c r="N110" s="52" t="str">
        <f t="shared" si="35"/>
        <v>13 (0.013 secs)</v>
      </c>
      <c r="O110" s="52" t="str">
        <f t="shared" si="35"/>
        <v>13 (0.013 secs)</v>
      </c>
      <c r="P110" s="52" t="str">
        <f t="shared" si="34"/>
        <v>13 (0.013 secs)</v>
      </c>
      <c r="Q110" s="52" t="str">
        <f t="shared" si="34"/>
        <v>13 (0.013 secs)</v>
      </c>
      <c r="R110" s="52" t="str">
        <f t="shared" si="34"/>
        <v>13 (0.013 secs)</v>
      </c>
      <c r="S110" s="52" t="str">
        <f t="shared" si="34"/>
        <v>13 (0.013 secs)</v>
      </c>
      <c r="T110" s="52" t="str">
        <f t="shared" si="34"/>
        <v>13 (0.013 secs)</v>
      </c>
      <c r="U110" s="115"/>
    </row>
    <row r="111" spans="1:21">
      <c r="A111" s="112" t="s">
        <v>40</v>
      </c>
      <c r="B111" s="113">
        <v>1</v>
      </c>
      <c r="C111" s="113">
        <v>14</v>
      </c>
      <c r="D111" s="113">
        <v>14</v>
      </c>
      <c r="E111" s="113">
        <v>14</v>
      </c>
      <c r="F111" s="113">
        <v>14</v>
      </c>
      <c r="G111" s="113">
        <v>14</v>
      </c>
      <c r="H111" s="113">
        <v>14</v>
      </c>
      <c r="I111" s="113">
        <v>14</v>
      </c>
      <c r="J111" s="69">
        <v>0</v>
      </c>
      <c r="K111" s="52">
        <v>71.428569999999993</v>
      </c>
      <c r="L111" s="114">
        <v>41.16</v>
      </c>
      <c r="M111" s="113">
        <v>25.88</v>
      </c>
      <c r="N111" s="52" t="str">
        <f t="shared" si="35"/>
        <v>14 (0.014 secs)</v>
      </c>
      <c r="O111" s="52" t="str">
        <f t="shared" si="35"/>
        <v>14 (0.014 secs)</v>
      </c>
      <c r="P111" s="52" t="str">
        <f t="shared" si="34"/>
        <v>14 (0.014 secs)</v>
      </c>
      <c r="Q111" s="52" t="str">
        <f t="shared" si="34"/>
        <v>14 (0.014 secs)</v>
      </c>
      <c r="R111" s="52" t="str">
        <f t="shared" si="34"/>
        <v>14 (0.014 secs)</v>
      </c>
      <c r="S111" s="52" t="str">
        <f t="shared" si="34"/>
        <v>14 (0.014 secs)</v>
      </c>
      <c r="T111" s="52" t="str">
        <f t="shared" si="34"/>
        <v>14 (0.014 secs)</v>
      </c>
      <c r="U111" s="115"/>
    </row>
    <row r="112" spans="1:21" ht="15" thickBot="1">
      <c r="A112" s="116" t="s">
        <v>128</v>
      </c>
      <c r="B112" s="117">
        <v>4</v>
      </c>
      <c r="C112" s="117">
        <v>6991</v>
      </c>
      <c r="D112" s="117">
        <v>14</v>
      </c>
      <c r="E112" s="117">
        <v>27914</v>
      </c>
      <c r="F112" s="117">
        <v>27914</v>
      </c>
      <c r="G112" s="117">
        <v>27914</v>
      </c>
      <c r="H112" s="117">
        <v>13</v>
      </c>
      <c r="I112" s="117">
        <v>27914</v>
      </c>
      <c r="J112" s="79">
        <v>0</v>
      </c>
      <c r="K112" s="53">
        <v>0.14244000000000001</v>
      </c>
      <c r="L112" s="118">
        <v>0.2</v>
      </c>
      <c r="M112" s="117">
        <v>0.05</v>
      </c>
      <c r="N112" s="53" t="str">
        <f t="shared" si="35"/>
        <v>6991 (6.991 secs)</v>
      </c>
      <c r="O112" s="53" t="str">
        <f t="shared" si="35"/>
        <v>14 (0.014 secs)</v>
      </c>
      <c r="P112" s="53" t="str">
        <f t="shared" si="34"/>
        <v>27914 (27.914 secs)</v>
      </c>
      <c r="Q112" s="53" t="str">
        <f t="shared" si="34"/>
        <v>27914 (27.914 secs)</v>
      </c>
      <c r="R112" s="53" t="str">
        <f t="shared" si="34"/>
        <v>27914 (27.914 secs)</v>
      </c>
      <c r="S112" s="53" t="str">
        <f t="shared" si="34"/>
        <v>13 (0.013 secs)</v>
      </c>
      <c r="T112" s="53" t="str">
        <f t="shared" si="34"/>
        <v>27914 (27.914 secs)</v>
      </c>
      <c r="U112" s="119"/>
    </row>
    <row r="114" spans="1:21">
      <c r="A114" s="101" t="s">
        <v>61</v>
      </c>
      <c r="B114" s="102" t="s">
        <v>62</v>
      </c>
      <c r="C114" s="105"/>
      <c r="D114" s="104"/>
      <c r="E114" s="105"/>
      <c r="F114" s="105"/>
      <c r="G114" s="105"/>
      <c r="H114" s="105"/>
      <c r="I114" s="105"/>
      <c r="J114" s="105"/>
      <c r="K114" s="105"/>
      <c r="N114" s="121"/>
      <c r="O114" s="86"/>
      <c r="P114" s="86"/>
      <c r="Q114" s="86"/>
      <c r="R114" s="86"/>
      <c r="S114" s="86"/>
      <c r="T114" s="130"/>
    </row>
    <row r="115" spans="1:21">
      <c r="A115" s="134" t="s">
        <v>13</v>
      </c>
      <c r="B115" s="107" t="s">
        <v>175</v>
      </c>
      <c r="C115" s="104"/>
      <c r="D115" s="104"/>
      <c r="E115" s="105"/>
      <c r="F115" s="105"/>
      <c r="G115" s="105"/>
      <c r="H115" s="105"/>
      <c r="I115" s="105"/>
      <c r="J115" s="105"/>
      <c r="K115" s="105"/>
      <c r="N115" s="121"/>
      <c r="O115" s="86"/>
      <c r="P115" s="86"/>
      <c r="Q115" s="86"/>
      <c r="R115" s="86"/>
      <c r="S115" s="86"/>
      <c r="T115" s="130"/>
    </row>
    <row r="116" spans="1:21">
      <c r="A116" s="135"/>
      <c r="B116" s="129"/>
      <c r="D116" s="86"/>
      <c r="N116" s="121"/>
      <c r="O116" s="86"/>
      <c r="P116" s="86"/>
      <c r="Q116" s="86"/>
      <c r="R116" s="86"/>
      <c r="S116" s="86"/>
      <c r="T116" s="130"/>
    </row>
    <row r="117" spans="1:21">
      <c r="A117" s="108" t="s">
        <v>114</v>
      </c>
      <c r="B117" s="109" t="s">
        <v>115</v>
      </c>
      <c r="C117" s="109" t="s">
        <v>116</v>
      </c>
      <c r="D117" s="109" t="s">
        <v>117</v>
      </c>
      <c r="E117" s="109" t="s">
        <v>118</v>
      </c>
      <c r="F117" s="109" t="s">
        <v>119</v>
      </c>
      <c r="G117" s="109" t="s">
        <v>120</v>
      </c>
      <c r="H117" s="109" t="s">
        <v>121</v>
      </c>
      <c r="I117" s="109" t="s">
        <v>122</v>
      </c>
      <c r="J117" s="109" t="s">
        <v>123</v>
      </c>
      <c r="K117" s="109" t="s">
        <v>143</v>
      </c>
      <c r="L117" s="109" t="s">
        <v>125</v>
      </c>
      <c r="M117" s="109" t="s">
        <v>126</v>
      </c>
      <c r="N117" s="109" t="s">
        <v>116</v>
      </c>
      <c r="O117" s="109" t="s">
        <v>117</v>
      </c>
      <c r="P117" s="109" t="s">
        <v>118</v>
      </c>
      <c r="Q117" s="109" t="s">
        <v>119</v>
      </c>
      <c r="R117" s="109" t="s">
        <v>120</v>
      </c>
      <c r="S117" s="109" t="s">
        <v>121</v>
      </c>
      <c r="T117" s="109" t="s">
        <v>122</v>
      </c>
      <c r="U117" s="110" t="s">
        <v>127</v>
      </c>
    </row>
    <row r="118" spans="1:21">
      <c r="A118" s="112" t="s">
        <v>33</v>
      </c>
      <c r="B118" s="113">
        <v>1</v>
      </c>
      <c r="C118" s="113">
        <v>37405</v>
      </c>
      <c r="D118" s="113">
        <v>37405</v>
      </c>
      <c r="E118" s="113">
        <v>37405</v>
      </c>
      <c r="F118" s="113">
        <v>37405</v>
      </c>
      <c r="G118" s="113">
        <v>37405</v>
      </c>
      <c r="H118" s="113">
        <v>37405</v>
      </c>
      <c r="I118" s="113">
        <v>37405</v>
      </c>
      <c r="J118" s="69">
        <v>0</v>
      </c>
      <c r="K118" s="52">
        <v>2.673E-2</v>
      </c>
      <c r="L118" s="114">
        <v>0.01</v>
      </c>
      <c r="M118" s="113">
        <v>0.01</v>
      </c>
      <c r="N118" s="50" t="str">
        <f>C118&amp;" ("&amp;TEXT(C118/1000,"0.000")&amp;" secs)"</f>
        <v>37405 (37.405 secs)</v>
      </c>
      <c r="O118" s="52" t="str">
        <f>D118&amp;" ("&amp;TEXT(D118/1000,"0.000")&amp;" secs)"</f>
        <v>37405 (37.405 secs)</v>
      </c>
      <c r="P118" s="52" t="str">
        <f t="shared" ref="P118:T122" si="36">E118&amp;" ("&amp;TEXT(E118/1000,"0.000")&amp;" secs)"</f>
        <v>37405 (37.405 secs)</v>
      </c>
      <c r="Q118" s="52" t="str">
        <f t="shared" si="36"/>
        <v>37405 (37.405 secs)</v>
      </c>
      <c r="R118" s="52" t="str">
        <f t="shared" si="36"/>
        <v>37405 (37.405 secs)</v>
      </c>
      <c r="S118" s="52" t="str">
        <f t="shared" si="36"/>
        <v>37405 (37.405 secs)</v>
      </c>
      <c r="T118" s="52" t="str">
        <f t="shared" si="36"/>
        <v>37405 (37.405 secs)</v>
      </c>
      <c r="U118" s="115" t="s">
        <v>176</v>
      </c>
    </row>
    <row r="119" spans="1:21">
      <c r="A119" s="112" t="s">
        <v>38</v>
      </c>
      <c r="B119" s="113">
        <v>1</v>
      </c>
      <c r="C119" s="113">
        <v>15</v>
      </c>
      <c r="D119" s="113">
        <v>15</v>
      </c>
      <c r="E119" s="113">
        <v>15</v>
      </c>
      <c r="F119" s="113">
        <v>15</v>
      </c>
      <c r="G119" s="113">
        <v>15</v>
      </c>
      <c r="H119" s="113">
        <v>15</v>
      </c>
      <c r="I119" s="113">
        <v>15</v>
      </c>
      <c r="J119" s="69">
        <v>0</v>
      </c>
      <c r="K119" s="52">
        <v>66.666669999999996</v>
      </c>
      <c r="L119" s="114">
        <v>238.28</v>
      </c>
      <c r="M119" s="113">
        <v>22.4</v>
      </c>
      <c r="N119" s="52" t="str">
        <f t="shared" ref="N119:O122" si="37">C119&amp;" ("&amp;TEXT(C119/1000,"0.000")&amp;" secs)"</f>
        <v>15 (0.015 secs)</v>
      </c>
      <c r="O119" s="52" t="str">
        <f t="shared" si="37"/>
        <v>15 (0.015 secs)</v>
      </c>
      <c r="P119" s="52" t="str">
        <f t="shared" si="36"/>
        <v>15 (0.015 secs)</v>
      </c>
      <c r="Q119" s="52" t="str">
        <f t="shared" si="36"/>
        <v>15 (0.015 secs)</v>
      </c>
      <c r="R119" s="52" t="str">
        <f t="shared" si="36"/>
        <v>15 (0.015 secs)</v>
      </c>
      <c r="S119" s="52" t="str">
        <f t="shared" si="36"/>
        <v>15 (0.015 secs)</v>
      </c>
      <c r="T119" s="52" t="str">
        <f t="shared" si="36"/>
        <v>15 (0.015 secs)</v>
      </c>
      <c r="U119" s="115"/>
    </row>
    <row r="120" spans="1:21">
      <c r="A120" s="112" t="s">
        <v>39</v>
      </c>
      <c r="B120" s="113">
        <v>1</v>
      </c>
      <c r="C120" s="113">
        <v>12</v>
      </c>
      <c r="D120" s="113">
        <v>12</v>
      </c>
      <c r="E120" s="113">
        <v>12</v>
      </c>
      <c r="F120" s="113">
        <v>12</v>
      </c>
      <c r="G120" s="113">
        <v>12</v>
      </c>
      <c r="H120" s="113">
        <v>12</v>
      </c>
      <c r="I120" s="113">
        <v>12</v>
      </c>
      <c r="J120" s="69">
        <v>0</v>
      </c>
      <c r="K120" s="52">
        <v>83.333330000000004</v>
      </c>
      <c r="L120" s="114">
        <v>17.739999999999998</v>
      </c>
      <c r="M120" s="113">
        <v>31.41</v>
      </c>
      <c r="N120" s="52" t="str">
        <f t="shared" si="37"/>
        <v>12 (0.012 secs)</v>
      </c>
      <c r="O120" s="52" t="str">
        <f t="shared" si="37"/>
        <v>12 (0.012 secs)</v>
      </c>
      <c r="P120" s="52" t="str">
        <f t="shared" si="36"/>
        <v>12 (0.012 secs)</v>
      </c>
      <c r="Q120" s="52" t="str">
        <f t="shared" si="36"/>
        <v>12 (0.012 secs)</v>
      </c>
      <c r="R120" s="52" t="str">
        <f t="shared" si="36"/>
        <v>12 (0.012 secs)</v>
      </c>
      <c r="S120" s="52" t="str">
        <f t="shared" si="36"/>
        <v>12 (0.012 secs)</v>
      </c>
      <c r="T120" s="52" t="str">
        <f t="shared" si="36"/>
        <v>12 (0.012 secs)</v>
      </c>
      <c r="U120" s="115"/>
    </row>
    <row r="121" spans="1:21">
      <c r="A121" s="112" t="s">
        <v>40</v>
      </c>
      <c r="B121" s="113">
        <v>1</v>
      </c>
      <c r="C121" s="113">
        <v>14</v>
      </c>
      <c r="D121" s="113">
        <v>14</v>
      </c>
      <c r="E121" s="113">
        <v>14</v>
      </c>
      <c r="F121" s="113">
        <v>14</v>
      </c>
      <c r="G121" s="113">
        <v>14</v>
      </c>
      <c r="H121" s="113">
        <v>14</v>
      </c>
      <c r="I121" s="113">
        <v>14</v>
      </c>
      <c r="J121" s="69">
        <v>0</v>
      </c>
      <c r="K121" s="52">
        <v>71.428569999999993</v>
      </c>
      <c r="L121" s="114">
        <v>37.81</v>
      </c>
      <c r="M121" s="113">
        <v>25.74</v>
      </c>
      <c r="N121" s="52" t="str">
        <f t="shared" si="37"/>
        <v>14 (0.014 secs)</v>
      </c>
      <c r="O121" s="52" t="str">
        <f t="shared" si="37"/>
        <v>14 (0.014 secs)</v>
      </c>
      <c r="P121" s="52" t="str">
        <f t="shared" si="36"/>
        <v>14 (0.014 secs)</v>
      </c>
      <c r="Q121" s="52" t="str">
        <f t="shared" si="36"/>
        <v>14 (0.014 secs)</v>
      </c>
      <c r="R121" s="52" t="str">
        <f t="shared" si="36"/>
        <v>14 (0.014 secs)</v>
      </c>
      <c r="S121" s="52" t="str">
        <f t="shared" si="36"/>
        <v>14 (0.014 secs)</v>
      </c>
      <c r="T121" s="52" t="str">
        <f t="shared" si="36"/>
        <v>14 (0.014 secs)</v>
      </c>
      <c r="U121" s="115"/>
    </row>
    <row r="122" spans="1:21" ht="15" thickBot="1">
      <c r="A122" s="116" t="s">
        <v>128</v>
      </c>
      <c r="B122" s="117">
        <v>4</v>
      </c>
      <c r="C122" s="117">
        <v>9361</v>
      </c>
      <c r="D122" s="117">
        <v>14</v>
      </c>
      <c r="E122" s="117">
        <v>37405</v>
      </c>
      <c r="F122" s="117">
        <v>37405</v>
      </c>
      <c r="G122" s="117">
        <v>37405</v>
      </c>
      <c r="H122" s="117">
        <v>12</v>
      </c>
      <c r="I122" s="117">
        <v>37405</v>
      </c>
      <c r="J122" s="79">
        <v>0</v>
      </c>
      <c r="K122" s="53">
        <v>0.10652</v>
      </c>
      <c r="L122" s="118">
        <v>0.12</v>
      </c>
      <c r="M122" s="117">
        <v>0.04</v>
      </c>
      <c r="N122" s="53" t="str">
        <f t="shared" si="37"/>
        <v>9361 (9.361 secs)</v>
      </c>
      <c r="O122" s="53" t="str">
        <f t="shared" si="37"/>
        <v>14 (0.014 secs)</v>
      </c>
      <c r="P122" s="53" t="str">
        <f t="shared" si="36"/>
        <v>37405 (37.405 secs)</v>
      </c>
      <c r="Q122" s="53" t="str">
        <f t="shared" si="36"/>
        <v>37405 (37.405 secs)</v>
      </c>
      <c r="R122" s="53" t="str">
        <f t="shared" si="36"/>
        <v>37405 (37.405 secs)</v>
      </c>
      <c r="S122" s="53" t="str">
        <f t="shared" si="36"/>
        <v>12 (0.012 secs)</v>
      </c>
      <c r="T122" s="53" t="str">
        <f t="shared" si="36"/>
        <v>37405 (37.405 secs)</v>
      </c>
      <c r="U122" s="119"/>
    </row>
    <row r="124" spans="1:21">
      <c r="A124" s="101" t="s">
        <v>64</v>
      </c>
      <c r="B124" s="102" t="s">
        <v>149</v>
      </c>
      <c r="C124" s="105"/>
      <c r="D124" s="104"/>
      <c r="E124" s="105"/>
      <c r="F124" s="105"/>
      <c r="G124" s="105"/>
      <c r="H124" s="105"/>
      <c r="I124" s="105"/>
      <c r="J124" s="105"/>
      <c r="K124" s="105"/>
      <c r="N124" s="121"/>
      <c r="O124" s="86"/>
      <c r="P124" s="86"/>
      <c r="Q124" s="86"/>
      <c r="R124" s="86"/>
      <c r="S124" s="86"/>
      <c r="T124" s="130"/>
    </row>
    <row r="125" spans="1:21">
      <c r="A125" s="134" t="s">
        <v>13</v>
      </c>
      <c r="B125" s="107" t="s">
        <v>177</v>
      </c>
      <c r="C125" s="104"/>
      <c r="D125" s="104"/>
      <c r="E125" s="105"/>
      <c r="F125" s="105"/>
      <c r="G125" s="105"/>
      <c r="H125" s="105"/>
      <c r="I125" s="105"/>
      <c r="J125" s="105"/>
      <c r="K125" s="105"/>
      <c r="N125" s="121"/>
      <c r="O125" s="86"/>
      <c r="P125" s="86"/>
      <c r="Q125" s="86"/>
      <c r="R125" s="86"/>
      <c r="S125" s="86"/>
      <c r="T125" s="130"/>
    </row>
    <row r="126" spans="1:21">
      <c r="A126" s="135"/>
      <c r="B126" s="129"/>
      <c r="D126" s="86"/>
      <c r="N126" s="121"/>
      <c r="O126" s="86"/>
      <c r="P126" s="86"/>
      <c r="Q126" s="86"/>
      <c r="R126" s="86"/>
      <c r="S126" s="86"/>
      <c r="T126" s="130"/>
    </row>
    <row r="127" spans="1:21">
      <c r="A127" s="108" t="s">
        <v>114</v>
      </c>
      <c r="B127" s="109" t="s">
        <v>115</v>
      </c>
      <c r="C127" s="109" t="s">
        <v>116</v>
      </c>
      <c r="D127" s="109" t="s">
        <v>117</v>
      </c>
      <c r="E127" s="109" t="s">
        <v>118</v>
      </c>
      <c r="F127" s="109" t="s">
        <v>119</v>
      </c>
      <c r="G127" s="109" t="s">
        <v>120</v>
      </c>
      <c r="H127" s="109" t="s">
        <v>121</v>
      </c>
      <c r="I127" s="109" t="s">
        <v>122</v>
      </c>
      <c r="J127" s="109" t="s">
        <v>123</v>
      </c>
      <c r="K127" s="109" t="s">
        <v>143</v>
      </c>
      <c r="L127" s="109" t="s">
        <v>125</v>
      </c>
      <c r="M127" s="109" t="s">
        <v>126</v>
      </c>
      <c r="N127" s="109" t="s">
        <v>116</v>
      </c>
      <c r="O127" s="109" t="s">
        <v>117</v>
      </c>
      <c r="P127" s="109" t="s">
        <v>118</v>
      </c>
      <c r="Q127" s="109" t="s">
        <v>119</v>
      </c>
      <c r="R127" s="109" t="s">
        <v>120</v>
      </c>
      <c r="S127" s="109" t="s">
        <v>121</v>
      </c>
      <c r="T127" s="109" t="s">
        <v>122</v>
      </c>
      <c r="U127" s="110" t="s">
        <v>127</v>
      </c>
    </row>
    <row r="128" spans="1:21">
      <c r="A128" s="112" t="s">
        <v>33</v>
      </c>
      <c r="B128" s="113">
        <v>1</v>
      </c>
      <c r="C128" s="113">
        <v>7238976</v>
      </c>
      <c r="D128" s="113">
        <v>7238976</v>
      </c>
      <c r="E128" s="113">
        <v>7238976</v>
      </c>
      <c r="F128" s="113">
        <v>7238976</v>
      </c>
      <c r="G128" s="113">
        <v>7238976</v>
      </c>
      <c r="H128" s="113">
        <v>7238976</v>
      </c>
      <c r="I128" s="113">
        <v>7238976</v>
      </c>
      <c r="J128" s="69">
        <v>0</v>
      </c>
      <c r="K128" s="52">
        <v>1.3999999999999999E-4</v>
      </c>
      <c r="L128" s="114">
        <v>0</v>
      </c>
      <c r="M128" s="113">
        <v>0</v>
      </c>
      <c r="N128" s="50" t="str">
        <f t="shared" ref="N128:T128" si="38">C128&amp;" ("&amp;TEXT(C128/60000,"0.000")&amp;" mins)"</f>
        <v>7238976 (120.650 mins)</v>
      </c>
      <c r="O128" s="52" t="str">
        <f t="shared" si="38"/>
        <v>7238976 (120.650 mins)</v>
      </c>
      <c r="P128" s="52" t="str">
        <f t="shared" si="38"/>
        <v>7238976 (120.650 mins)</v>
      </c>
      <c r="Q128" s="52" t="str">
        <f t="shared" si="38"/>
        <v>7238976 (120.650 mins)</v>
      </c>
      <c r="R128" s="52" t="str">
        <f t="shared" si="38"/>
        <v>7238976 (120.650 mins)</v>
      </c>
      <c r="S128" s="52" t="str">
        <f t="shared" si="38"/>
        <v>7238976 (120.650 mins)</v>
      </c>
      <c r="T128" s="52" t="str">
        <f t="shared" si="38"/>
        <v>7238976 (120.650 mins)</v>
      </c>
      <c r="U128" s="71" t="s">
        <v>150</v>
      </c>
    </row>
    <row r="129" spans="1:21">
      <c r="A129" s="112" t="s">
        <v>38</v>
      </c>
      <c r="B129" s="113">
        <v>1</v>
      </c>
      <c r="C129" s="113">
        <v>38</v>
      </c>
      <c r="D129" s="113">
        <v>38</v>
      </c>
      <c r="E129" s="113">
        <v>38</v>
      </c>
      <c r="F129" s="113">
        <v>38</v>
      </c>
      <c r="G129" s="113">
        <v>38</v>
      </c>
      <c r="H129" s="113">
        <v>38</v>
      </c>
      <c r="I129" s="113">
        <v>38</v>
      </c>
      <c r="J129" s="69">
        <v>0</v>
      </c>
      <c r="K129" s="52">
        <v>26.31579</v>
      </c>
      <c r="L129" s="114">
        <v>187.14</v>
      </c>
      <c r="M129" s="113">
        <v>8.84</v>
      </c>
      <c r="N129" s="52" t="str">
        <f t="shared" ref="N129:T131" si="39">C129&amp;" ("&amp;TEXT(C129/1000,"0.000")&amp;" secs)"</f>
        <v>38 (0.038 secs)</v>
      </c>
      <c r="O129" s="52" t="str">
        <f t="shared" si="39"/>
        <v>38 (0.038 secs)</v>
      </c>
      <c r="P129" s="52" t="str">
        <f t="shared" si="39"/>
        <v>38 (0.038 secs)</v>
      </c>
      <c r="Q129" s="52" t="str">
        <f t="shared" si="39"/>
        <v>38 (0.038 secs)</v>
      </c>
      <c r="R129" s="52" t="str">
        <f t="shared" si="39"/>
        <v>38 (0.038 secs)</v>
      </c>
      <c r="S129" s="52" t="str">
        <f t="shared" si="39"/>
        <v>38 (0.038 secs)</v>
      </c>
      <c r="T129" s="52" t="str">
        <f t="shared" si="39"/>
        <v>38 (0.038 secs)</v>
      </c>
      <c r="U129" s="71"/>
    </row>
    <row r="130" spans="1:21">
      <c r="A130" s="112" t="s">
        <v>39</v>
      </c>
      <c r="B130" s="113">
        <v>1</v>
      </c>
      <c r="C130" s="113">
        <v>263</v>
      </c>
      <c r="D130" s="113">
        <v>263</v>
      </c>
      <c r="E130" s="113">
        <v>263</v>
      </c>
      <c r="F130" s="113">
        <v>263</v>
      </c>
      <c r="G130" s="113">
        <v>263</v>
      </c>
      <c r="H130" s="113">
        <v>263</v>
      </c>
      <c r="I130" s="113">
        <v>263</v>
      </c>
      <c r="J130" s="54">
        <v>1</v>
      </c>
      <c r="K130" s="52">
        <v>3.8022800000000001</v>
      </c>
      <c r="L130" s="114">
        <v>0.7</v>
      </c>
      <c r="M130" s="113">
        <v>1.44</v>
      </c>
      <c r="N130" s="52" t="str">
        <f t="shared" si="39"/>
        <v>263 (0.263 secs)</v>
      </c>
      <c r="O130" s="52" t="str">
        <f t="shared" si="39"/>
        <v>263 (0.263 secs)</v>
      </c>
      <c r="P130" s="52" t="str">
        <f t="shared" si="39"/>
        <v>263 (0.263 secs)</v>
      </c>
      <c r="Q130" s="52" t="str">
        <f t="shared" si="39"/>
        <v>263 (0.263 secs)</v>
      </c>
      <c r="R130" s="52" t="str">
        <f t="shared" si="39"/>
        <v>263 (0.263 secs)</v>
      </c>
      <c r="S130" s="52" t="str">
        <f t="shared" si="39"/>
        <v>263 (0.263 secs)</v>
      </c>
      <c r="T130" s="52" t="str">
        <f t="shared" si="39"/>
        <v>263 (0.263 secs)</v>
      </c>
      <c r="U130" s="71" t="s">
        <v>151</v>
      </c>
    </row>
    <row r="131" spans="1:21">
      <c r="A131" s="112" t="s">
        <v>40</v>
      </c>
      <c r="B131" s="113">
        <v>1</v>
      </c>
      <c r="C131" s="113">
        <v>15</v>
      </c>
      <c r="D131" s="113">
        <v>15</v>
      </c>
      <c r="E131" s="113">
        <v>15</v>
      </c>
      <c r="F131" s="113">
        <v>15</v>
      </c>
      <c r="G131" s="113">
        <v>15</v>
      </c>
      <c r="H131" s="113">
        <v>15</v>
      </c>
      <c r="I131" s="113">
        <v>15</v>
      </c>
      <c r="J131" s="69">
        <v>0</v>
      </c>
      <c r="K131" s="52">
        <v>66.666669999999996</v>
      </c>
      <c r="L131" s="114">
        <v>44.01</v>
      </c>
      <c r="M131" s="113">
        <v>24.28</v>
      </c>
      <c r="N131" s="52" t="str">
        <f t="shared" si="39"/>
        <v>15 (0.015 secs)</v>
      </c>
      <c r="O131" s="52" t="str">
        <f t="shared" si="39"/>
        <v>15 (0.015 secs)</v>
      </c>
      <c r="P131" s="52" t="str">
        <f t="shared" si="39"/>
        <v>15 (0.015 secs)</v>
      </c>
      <c r="Q131" s="52" t="str">
        <f t="shared" si="39"/>
        <v>15 (0.015 secs)</v>
      </c>
      <c r="R131" s="52" t="str">
        <f t="shared" si="39"/>
        <v>15 (0.015 secs)</v>
      </c>
      <c r="S131" s="52" t="str">
        <f t="shared" si="39"/>
        <v>15 (0.015 secs)</v>
      </c>
      <c r="T131" s="52" t="str">
        <f t="shared" si="39"/>
        <v>15 (0.015 secs)</v>
      </c>
      <c r="U131" s="71"/>
    </row>
    <row r="132" spans="1:21" ht="15" thickBot="1">
      <c r="A132" s="116" t="s">
        <v>128</v>
      </c>
      <c r="B132" s="117">
        <v>4</v>
      </c>
      <c r="C132" s="117">
        <v>1809823</v>
      </c>
      <c r="D132" s="117">
        <v>38</v>
      </c>
      <c r="E132" s="117">
        <v>7238976</v>
      </c>
      <c r="F132" s="117">
        <v>7238976</v>
      </c>
      <c r="G132" s="117">
        <v>7238976</v>
      </c>
      <c r="H132" s="117">
        <v>15</v>
      </c>
      <c r="I132" s="117">
        <v>7238976</v>
      </c>
      <c r="J132" s="56">
        <v>0.25</v>
      </c>
      <c r="K132" s="53">
        <v>5.5000000000000003E-4</v>
      </c>
      <c r="L132" s="118">
        <v>0</v>
      </c>
      <c r="M132" s="117">
        <v>0</v>
      </c>
      <c r="N132" s="57" t="str">
        <f>C132&amp;" ("&amp;TEXT(C132/60000,"0.000")&amp;" mins)"</f>
        <v>1809823 (30.164 mins)</v>
      </c>
      <c r="O132" s="53" t="str">
        <f>D132&amp;" ("&amp;TEXT(D132/1000,"0.000")&amp;" secs)"</f>
        <v>38 (0.038 secs)</v>
      </c>
      <c r="P132" s="53" t="str">
        <f>E132&amp;" ("&amp;TEXT(E132/60000,"0.000")&amp;" mins)"</f>
        <v>7238976 (120.650 mins)</v>
      </c>
      <c r="Q132" s="53" t="str">
        <f>F132&amp;" ("&amp;TEXT(F132/60000,"0.000")&amp;" mins)"</f>
        <v>7238976 (120.650 mins)</v>
      </c>
      <c r="R132" s="53" t="str">
        <f>G132&amp;" ("&amp;TEXT(G132/60000,"0.000")&amp;" mins)"</f>
        <v>7238976 (120.650 mins)</v>
      </c>
      <c r="S132" s="53" t="str">
        <f>H132&amp;" ("&amp;TEXT(H132/1000,"0.000")&amp;" secs)"</f>
        <v>15 (0.015 secs)</v>
      </c>
      <c r="T132" s="53" t="str">
        <f>I132&amp;" ("&amp;TEXT(I132/60000,"0.000")&amp;" mins)"</f>
        <v>7238976 (120.650 mins)</v>
      </c>
      <c r="U132" s="72" t="s">
        <v>152</v>
      </c>
    </row>
    <row r="134" spans="1:21">
      <c r="A134" s="101" t="s">
        <v>68</v>
      </c>
      <c r="B134" s="102" t="s">
        <v>153</v>
      </c>
      <c r="C134" s="105"/>
      <c r="D134" s="104"/>
      <c r="E134" s="105"/>
      <c r="F134" s="105"/>
      <c r="G134" s="105"/>
      <c r="H134" s="105"/>
      <c r="I134" s="105"/>
      <c r="J134" s="105"/>
      <c r="K134" s="105"/>
      <c r="N134" s="121"/>
      <c r="O134" s="86"/>
      <c r="P134" s="86"/>
      <c r="Q134" s="86"/>
      <c r="R134" s="86"/>
      <c r="S134" s="86"/>
      <c r="T134" s="130"/>
    </row>
    <row r="135" spans="1:21">
      <c r="A135" s="134" t="s">
        <v>13</v>
      </c>
      <c r="B135" s="107" t="s">
        <v>178</v>
      </c>
      <c r="C135" s="104"/>
      <c r="D135" s="104"/>
      <c r="E135" s="105"/>
      <c r="F135" s="105"/>
      <c r="G135" s="105"/>
      <c r="H135" s="105"/>
      <c r="I135" s="105"/>
      <c r="J135" s="105"/>
      <c r="K135" s="105"/>
      <c r="N135" s="121"/>
      <c r="O135" s="86"/>
      <c r="P135" s="86"/>
      <c r="Q135" s="86"/>
      <c r="R135" s="86"/>
      <c r="S135" s="86"/>
      <c r="T135" s="130"/>
    </row>
    <row r="136" spans="1:21">
      <c r="A136" s="135"/>
      <c r="B136" s="129"/>
      <c r="D136" s="86"/>
      <c r="N136" s="121"/>
      <c r="O136" s="86"/>
      <c r="P136" s="86"/>
      <c r="Q136" s="86"/>
      <c r="R136" s="86"/>
      <c r="S136" s="86"/>
      <c r="T136" s="130"/>
    </row>
    <row r="137" spans="1:21">
      <c r="A137" s="108" t="s">
        <v>114</v>
      </c>
      <c r="B137" s="109" t="s">
        <v>115</v>
      </c>
      <c r="C137" s="109" t="s">
        <v>116</v>
      </c>
      <c r="D137" s="109" t="s">
        <v>117</v>
      </c>
      <c r="E137" s="109" t="s">
        <v>118</v>
      </c>
      <c r="F137" s="109" t="s">
        <v>119</v>
      </c>
      <c r="G137" s="109" t="s">
        <v>120</v>
      </c>
      <c r="H137" s="109" t="s">
        <v>121</v>
      </c>
      <c r="I137" s="109" t="s">
        <v>122</v>
      </c>
      <c r="J137" s="109" t="s">
        <v>123</v>
      </c>
      <c r="K137" s="109" t="s">
        <v>143</v>
      </c>
      <c r="L137" s="109" t="s">
        <v>125</v>
      </c>
      <c r="M137" s="109" t="s">
        <v>126</v>
      </c>
      <c r="N137" s="109" t="s">
        <v>116</v>
      </c>
      <c r="O137" s="109" t="s">
        <v>117</v>
      </c>
      <c r="P137" s="109" t="s">
        <v>118</v>
      </c>
      <c r="Q137" s="109" t="s">
        <v>119</v>
      </c>
      <c r="R137" s="109" t="s">
        <v>120</v>
      </c>
      <c r="S137" s="109" t="s">
        <v>121</v>
      </c>
      <c r="T137" s="109" t="s">
        <v>122</v>
      </c>
      <c r="U137" s="110" t="s">
        <v>127</v>
      </c>
    </row>
    <row r="138" spans="1:21">
      <c r="A138" s="112" t="s">
        <v>33</v>
      </c>
      <c r="B138" s="113">
        <v>1</v>
      </c>
      <c r="C138" s="113">
        <v>1011</v>
      </c>
      <c r="D138" s="113">
        <v>1011</v>
      </c>
      <c r="E138" s="113">
        <v>1011</v>
      </c>
      <c r="F138" s="113">
        <v>1011</v>
      </c>
      <c r="G138" s="113">
        <v>1011</v>
      </c>
      <c r="H138" s="113">
        <v>1011</v>
      </c>
      <c r="I138" s="113">
        <v>1011</v>
      </c>
      <c r="J138" s="69">
        <v>0</v>
      </c>
      <c r="K138" s="52">
        <v>0.98912</v>
      </c>
      <c r="L138" s="114">
        <v>0.28000000000000003</v>
      </c>
      <c r="M138" s="113">
        <v>0.44</v>
      </c>
      <c r="N138" s="52" t="str">
        <f>C138&amp;" ("&amp;TEXT(C138/1000,"0.000")&amp;" secs)"</f>
        <v>1011 (1.011 secs)</v>
      </c>
      <c r="O138" s="52" t="str">
        <f>D138&amp;" ("&amp;TEXT(D138/1000,"0.000")&amp;" secs)"</f>
        <v>1011 (1.011 secs)</v>
      </c>
      <c r="P138" s="52" t="str">
        <f t="shared" ref="P138:T142" si="40">E138&amp;" ("&amp;TEXT(E138/1000,"0.000")&amp;" secs)"</f>
        <v>1011 (1.011 secs)</v>
      </c>
      <c r="Q138" s="52" t="str">
        <f t="shared" si="40"/>
        <v>1011 (1.011 secs)</v>
      </c>
      <c r="R138" s="52" t="str">
        <f t="shared" si="40"/>
        <v>1011 (1.011 secs)</v>
      </c>
      <c r="S138" s="52" t="str">
        <f t="shared" si="40"/>
        <v>1011 (1.011 secs)</v>
      </c>
      <c r="T138" s="52" t="str">
        <f t="shared" si="40"/>
        <v>1011 (1.011 secs)</v>
      </c>
      <c r="U138" s="115" t="s">
        <v>154</v>
      </c>
    </row>
    <row r="139" spans="1:21">
      <c r="A139" s="112" t="s">
        <v>38</v>
      </c>
      <c r="B139" s="113">
        <v>1</v>
      </c>
      <c r="C139" s="113">
        <v>9903</v>
      </c>
      <c r="D139" s="113">
        <v>9903</v>
      </c>
      <c r="E139" s="113">
        <v>9903</v>
      </c>
      <c r="F139" s="113">
        <v>9903</v>
      </c>
      <c r="G139" s="113">
        <v>9903</v>
      </c>
      <c r="H139" s="113">
        <v>9903</v>
      </c>
      <c r="I139" s="113">
        <v>9903</v>
      </c>
      <c r="J139" s="69">
        <v>0</v>
      </c>
      <c r="K139" s="52">
        <v>0.10098</v>
      </c>
      <c r="L139" s="114">
        <v>0.4</v>
      </c>
      <c r="M139" s="113">
        <v>0.03</v>
      </c>
      <c r="N139" s="52" t="str">
        <f t="shared" ref="N139:O142" si="41">C139&amp;" ("&amp;TEXT(C139/1000,"0.000")&amp;" secs)"</f>
        <v>9903 (9.903 secs)</v>
      </c>
      <c r="O139" s="52" t="str">
        <f t="shared" si="41"/>
        <v>9903 (9.903 secs)</v>
      </c>
      <c r="P139" s="52" t="str">
        <f t="shared" si="40"/>
        <v>9903 (9.903 secs)</v>
      </c>
      <c r="Q139" s="52" t="str">
        <f t="shared" si="40"/>
        <v>9903 (9.903 secs)</v>
      </c>
      <c r="R139" s="52" t="str">
        <f t="shared" si="40"/>
        <v>9903 (9.903 secs)</v>
      </c>
      <c r="S139" s="52" t="str">
        <f t="shared" si="40"/>
        <v>9903 (9.903 secs)</v>
      </c>
      <c r="T139" s="52" t="str">
        <f t="shared" si="40"/>
        <v>9903 (9.903 secs)</v>
      </c>
      <c r="U139" s="115"/>
    </row>
    <row r="140" spans="1:21">
      <c r="A140" s="112" t="s">
        <v>39</v>
      </c>
      <c r="B140" s="113">
        <v>1</v>
      </c>
      <c r="C140" s="113">
        <v>2064</v>
      </c>
      <c r="D140" s="113">
        <v>2064</v>
      </c>
      <c r="E140" s="113">
        <v>2064</v>
      </c>
      <c r="F140" s="113">
        <v>2064</v>
      </c>
      <c r="G140" s="113">
        <v>2064</v>
      </c>
      <c r="H140" s="113">
        <v>2064</v>
      </c>
      <c r="I140" s="113">
        <v>2064</v>
      </c>
      <c r="J140" s="69">
        <v>1</v>
      </c>
      <c r="K140" s="52">
        <v>0.48449999999999999</v>
      </c>
      <c r="L140" s="114">
        <v>1.18</v>
      </c>
      <c r="M140" s="113">
        <v>0</v>
      </c>
      <c r="N140" s="52" t="str">
        <f t="shared" si="41"/>
        <v>2064 (2.064 secs)</v>
      </c>
      <c r="O140" s="52" t="str">
        <f t="shared" si="41"/>
        <v>2064 (2.064 secs)</v>
      </c>
      <c r="P140" s="52" t="str">
        <f t="shared" si="40"/>
        <v>2064 (2.064 secs)</v>
      </c>
      <c r="Q140" s="52" t="str">
        <f t="shared" si="40"/>
        <v>2064 (2.064 secs)</v>
      </c>
      <c r="R140" s="52" t="str">
        <f t="shared" si="40"/>
        <v>2064 (2.064 secs)</v>
      </c>
      <c r="S140" s="52" t="str">
        <f t="shared" si="40"/>
        <v>2064 (2.064 secs)</v>
      </c>
      <c r="T140" s="52" t="str">
        <f t="shared" si="40"/>
        <v>2064 (2.064 secs)</v>
      </c>
      <c r="U140" s="115"/>
    </row>
    <row r="141" spans="1:21">
      <c r="A141" s="112" t="s">
        <v>40</v>
      </c>
      <c r="B141" s="113">
        <v>1</v>
      </c>
      <c r="C141" s="113">
        <v>3</v>
      </c>
      <c r="D141" s="113">
        <v>3</v>
      </c>
      <c r="E141" s="113">
        <v>3</v>
      </c>
      <c r="F141" s="113">
        <v>3</v>
      </c>
      <c r="G141" s="113">
        <v>3</v>
      </c>
      <c r="H141" s="113">
        <v>3</v>
      </c>
      <c r="I141" s="113">
        <v>3</v>
      </c>
      <c r="J141" s="69">
        <v>1</v>
      </c>
      <c r="K141" s="52">
        <v>333.33332999999999</v>
      </c>
      <c r="L141" s="114">
        <v>919.6</v>
      </c>
      <c r="M141" s="113">
        <v>0</v>
      </c>
      <c r="N141" s="52" t="str">
        <f t="shared" si="41"/>
        <v>3 (0.003 secs)</v>
      </c>
      <c r="O141" s="52" t="str">
        <f t="shared" si="41"/>
        <v>3 (0.003 secs)</v>
      </c>
      <c r="P141" s="52" t="str">
        <f t="shared" si="40"/>
        <v>3 (0.003 secs)</v>
      </c>
      <c r="Q141" s="52" t="str">
        <f t="shared" si="40"/>
        <v>3 (0.003 secs)</v>
      </c>
      <c r="R141" s="52" t="str">
        <f t="shared" si="40"/>
        <v>3 (0.003 secs)</v>
      </c>
      <c r="S141" s="52" t="str">
        <f t="shared" si="40"/>
        <v>3 (0.003 secs)</v>
      </c>
      <c r="T141" s="52" t="str">
        <f t="shared" si="40"/>
        <v>3 (0.003 secs)</v>
      </c>
      <c r="U141" s="115"/>
    </row>
    <row r="142" spans="1:21" ht="15" thickBot="1">
      <c r="A142" s="116" t="s">
        <v>128</v>
      </c>
      <c r="B142" s="117">
        <v>4</v>
      </c>
      <c r="C142" s="117">
        <v>3245</v>
      </c>
      <c r="D142" s="117">
        <v>1011</v>
      </c>
      <c r="E142" s="117">
        <v>9903</v>
      </c>
      <c r="F142" s="117">
        <v>9903</v>
      </c>
      <c r="G142" s="117">
        <v>9903</v>
      </c>
      <c r="H142" s="117">
        <v>3</v>
      </c>
      <c r="I142" s="117">
        <v>9903</v>
      </c>
      <c r="J142" s="79">
        <v>0.5</v>
      </c>
      <c r="K142" s="53">
        <v>0.28006999999999999</v>
      </c>
      <c r="L142" s="118">
        <v>0.66</v>
      </c>
      <c r="M142" s="117">
        <v>0.05</v>
      </c>
      <c r="N142" s="53" t="str">
        <f t="shared" si="41"/>
        <v>3245 (3.245 secs)</v>
      </c>
      <c r="O142" s="53" t="str">
        <f t="shared" si="41"/>
        <v>1011 (1.011 secs)</v>
      </c>
      <c r="P142" s="53" t="str">
        <f t="shared" si="40"/>
        <v>9903 (9.903 secs)</v>
      </c>
      <c r="Q142" s="53" t="str">
        <f t="shared" si="40"/>
        <v>9903 (9.903 secs)</v>
      </c>
      <c r="R142" s="53" t="str">
        <f t="shared" si="40"/>
        <v>9903 (9.903 secs)</v>
      </c>
      <c r="S142" s="53" t="str">
        <f t="shared" si="40"/>
        <v>3 (0.003 secs)</v>
      </c>
      <c r="T142" s="53" t="str">
        <f t="shared" si="40"/>
        <v>9903 (9.903 secs)</v>
      </c>
      <c r="U142" s="119"/>
    </row>
    <row r="144" spans="1:21">
      <c r="A144" s="101" t="s">
        <v>76</v>
      </c>
      <c r="B144" s="102" t="s">
        <v>155</v>
      </c>
      <c r="C144" s="105"/>
      <c r="D144" s="104"/>
      <c r="E144" s="105"/>
      <c r="F144" s="105"/>
      <c r="G144" s="105"/>
      <c r="H144" s="105"/>
      <c r="I144" s="105"/>
      <c r="J144" s="105"/>
      <c r="K144" s="105"/>
      <c r="N144" s="121"/>
      <c r="O144" s="86"/>
      <c r="P144" s="86"/>
      <c r="Q144" s="86"/>
      <c r="R144" s="86"/>
      <c r="S144" s="86"/>
      <c r="T144" s="130"/>
    </row>
    <row r="145" spans="1:21">
      <c r="A145" s="134" t="s">
        <v>13</v>
      </c>
      <c r="B145" s="107" t="s">
        <v>179</v>
      </c>
      <c r="C145" s="104"/>
      <c r="D145" s="104"/>
      <c r="E145" s="105"/>
      <c r="F145" s="105"/>
      <c r="G145" s="105"/>
      <c r="H145" s="105"/>
      <c r="I145" s="105"/>
      <c r="J145" s="105"/>
      <c r="K145" s="105"/>
      <c r="N145" s="121"/>
      <c r="O145" s="86"/>
      <c r="P145" s="86"/>
      <c r="Q145" s="86"/>
      <c r="R145" s="86"/>
      <c r="S145" s="86"/>
      <c r="T145" s="130"/>
    </row>
    <row r="146" spans="1:21">
      <c r="A146" s="135"/>
      <c r="B146" s="129"/>
      <c r="D146" s="86"/>
      <c r="N146" s="121"/>
      <c r="O146" s="86"/>
      <c r="P146" s="86"/>
      <c r="Q146" s="86"/>
      <c r="R146" s="86"/>
      <c r="S146" s="86"/>
      <c r="T146" s="130"/>
    </row>
    <row r="147" spans="1:21">
      <c r="A147" s="108" t="s">
        <v>114</v>
      </c>
      <c r="B147" s="109" t="s">
        <v>115</v>
      </c>
      <c r="C147" s="109" t="s">
        <v>116</v>
      </c>
      <c r="D147" s="109" t="s">
        <v>117</v>
      </c>
      <c r="E147" s="109" t="s">
        <v>118</v>
      </c>
      <c r="F147" s="109" t="s">
        <v>119</v>
      </c>
      <c r="G147" s="109" t="s">
        <v>120</v>
      </c>
      <c r="H147" s="109" t="s">
        <v>121</v>
      </c>
      <c r="I147" s="109" t="s">
        <v>122</v>
      </c>
      <c r="J147" s="109" t="s">
        <v>123</v>
      </c>
      <c r="K147" s="109" t="s">
        <v>143</v>
      </c>
      <c r="L147" s="109" t="s">
        <v>125</v>
      </c>
      <c r="M147" s="109" t="s">
        <v>126</v>
      </c>
      <c r="N147" s="109" t="s">
        <v>116</v>
      </c>
      <c r="O147" s="109" t="s">
        <v>117</v>
      </c>
      <c r="P147" s="109" t="s">
        <v>118</v>
      </c>
      <c r="Q147" s="109" t="s">
        <v>119</v>
      </c>
      <c r="R147" s="109" t="s">
        <v>120</v>
      </c>
      <c r="S147" s="109" t="s">
        <v>121</v>
      </c>
      <c r="T147" s="109" t="s">
        <v>122</v>
      </c>
      <c r="U147" s="110" t="s">
        <v>127</v>
      </c>
    </row>
    <row r="148" spans="1:21">
      <c r="A148" s="112" t="s">
        <v>33</v>
      </c>
      <c r="B148" s="113">
        <v>1</v>
      </c>
      <c r="C148" s="113">
        <v>35</v>
      </c>
      <c r="D148" s="113">
        <v>35</v>
      </c>
      <c r="E148" s="113">
        <v>35</v>
      </c>
      <c r="F148" s="113">
        <v>35</v>
      </c>
      <c r="G148" s="113">
        <v>35</v>
      </c>
      <c r="H148" s="113">
        <v>35</v>
      </c>
      <c r="I148" s="113">
        <v>35</v>
      </c>
      <c r="J148" s="69">
        <v>0</v>
      </c>
      <c r="K148" s="52">
        <v>28.571429999999999</v>
      </c>
      <c r="L148" s="114">
        <v>8.09</v>
      </c>
      <c r="M148" s="113">
        <v>12.75</v>
      </c>
      <c r="N148" s="52" t="str">
        <f>C148&amp;" ("&amp;TEXT(C148/1000,"0.000")&amp;" secs)"</f>
        <v>35 (0.035 secs)</v>
      </c>
      <c r="O148" s="52" t="str">
        <f>D148&amp;" ("&amp;TEXT(D148/1000,"0.000")&amp;" secs)"</f>
        <v>35 (0.035 secs)</v>
      </c>
      <c r="P148" s="52" t="str">
        <f t="shared" ref="P148:T152" si="42">E148&amp;" ("&amp;TEXT(E148/1000,"0.000")&amp;" secs)"</f>
        <v>35 (0.035 secs)</v>
      </c>
      <c r="Q148" s="52" t="str">
        <f t="shared" si="42"/>
        <v>35 (0.035 secs)</v>
      </c>
      <c r="R148" s="52" t="str">
        <f t="shared" si="42"/>
        <v>35 (0.035 secs)</v>
      </c>
      <c r="S148" s="52" t="str">
        <f t="shared" si="42"/>
        <v>35 (0.035 secs)</v>
      </c>
      <c r="T148" s="52" t="str">
        <f t="shared" si="42"/>
        <v>35 (0.035 secs)</v>
      </c>
      <c r="U148" s="115" t="s">
        <v>154</v>
      </c>
    </row>
    <row r="149" spans="1:21">
      <c r="A149" s="112" t="s">
        <v>38</v>
      </c>
      <c r="B149" s="113">
        <v>1</v>
      </c>
      <c r="C149" s="113">
        <v>18</v>
      </c>
      <c r="D149" s="113">
        <v>18</v>
      </c>
      <c r="E149" s="113">
        <v>18</v>
      </c>
      <c r="F149" s="113">
        <v>18</v>
      </c>
      <c r="G149" s="113">
        <v>18</v>
      </c>
      <c r="H149" s="113">
        <v>18</v>
      </c>
      <c r="I149" s="113">
        <v>18</v>
      </c>
      <c r="J149" s="69">
        <v>0</v>
      </c>
      <c r="K149" s="52">
        <v>55.55556</v>
      </c>
      <c r="L149" s="114">
        <v>221.25</v>
      </c>
      <c r="M149" s="113">
        <v>18.66</v>
      </c>
      <c r="N149" s="52" t="str">
        <f t="shared" ref="N149:O152" si="43">C149&amp;" ("&amp;TEXT(C149/1000,"0.000")&amp;" secs)"</f>
        <v>18 (0.018 secs)</v>
      </c>
      <c r="O149" s="52" t="str">
        <f t="shared" si="43"/>
        <v>18 (0.018 secs)</v>
      </c>
      <c r="P149" s="52" t="str">
        <f t="shared" si="42"/>
        <v>18 (0.018 secs)</v>
      </c>
      <c r="Q149" s="52" t="str">
        <f t="shared" si="42"/>
        <v>18 (0.018 secs)</v>
      </c>
      <c r="R149" s="52" t="str">
        <f t="shared" si="42"/>
        <v>18 (0.018 secs)</v>
      </c>
      <c r="S149" s="52" t="str">
        <f t="shared" si="42"/>
        <v>18 (0.018 secs)</v>
      </c>
      <c r="T149" s="52" t="str">
        <f t="shared" si="42"/>
        <v>18 (0.018 secs)</v>
      </c>
      <c r="U149" s="115"/>
    </row>
    <row r="150" spans="1:21">
      <c r="A150" s="112" t="s">
        <v>39</v>
      </c>
      <c r="B150" s="113">
        <v>1</v>
      </c>
      <c r="C150" s="113">
        <v>1575</v>
      </c>
      <c r="D150" s="113">
        <v>1575</v>
      </c>
      <c r="E150" s="113">
        <v>1575</v>
      </c>
      <c r="F150" s="113">
        <v>1575</v>
      </c>
      <c r="G150" s="113">
        <v>1575</v>
      </c>
      <c r="H150" s="113">
        <v>1575</v>
      </c>
      <c r="I150" s="113">
        <v>1575</v>
      </c>
      <c r="J150" s="69">
        <v>1</v>
      </c>
      <c r="K150" s="52">
        <v>0.63492000000000004</v>
      </c>
      <c r="L150" s="114">
        <v>1.55</v>
      </c>
      <c r="M150" s="113">
        <v>0</v>
      </c>
      <c r="N150" s="52" t="str">
        <f t="shared" si="43"/>
        <v>1575 (1.575 secs)</v>
      </c>
      <c r="O150" s="52" t="str">
        <f t="shared" si="43"/>
        <v>1575 (1.575 secs)</v>
      </c>
      <c r="P150" s="52" t="str">
        <f t="shared" si="42"/>
        <v>1575 (1.575 secs)</v>
      </c>
      <c r="Q150" s="52" t="str">
        <f t="shared" si="42"/>
        <v>1575 (1.575 secs)</v>
      </c>
      <c r="R150" s="52" t="str">
        <f t="shared" si="42"/>
        <v>1575 (1.575 secs)</v>
      </c>
      <c r="S150" s="52" t="str">
        <f t="shared" si="42"/>
        <v>1575 (1.575 secs)</v>
      </c>
      <c r="T150" s="52" t="str">
        <f t="shared" si="42"/>
        <v>1575 (1.575 secs)</v>
      </c>
      <c r="U150" s="115"/>
    </row>
    <row r="151" spans="1:21">
      <c r="A151" s="112" t="s">
        <v>40</v>
      </c>
      <c r="B151" s="113">
        <v>1</v>
      </c>
      <c r="C151" s="113">
        <v>2</v>
      </c>
      <c r="D151" s="113">
        <v>2</v>
      </c>
      <c r="E151" s="113">
        <v>2</v>
      </c>
      <c r="F151" s="113">
        <v>2</v>
      </c>
      <c r="G151" s="113">
        <v>2</v>
      </c>
      <c r="H151" s="113">
        <v>2</v>
      </c>
      <c r="I151" s="113">
        <v>2</v>
      </c>
      <c r="J151" s="69">
        <v>1</v>
      </c>
      <c r="K151" s="52">
        <v>500</v>
      </c>
      <c r="L151" s="114">
        <v>1379.39</v>
      </c>
      <c r="M151" s="113">
        <v>0</v>
      </c>
      <c r="N151" s="52" t="str">
        <f t="shared" si="43"/>
        <v>2 (0.002 secs)</v>
      </c>
      <c r="O151" s="52" t="str">
        <f t="shared" si="43"/>
        <v>2 (0.002 secs)</v>
      </c>
      <c r="P151" s="52" t="str">
        <f t="shared" si="42"/>
        <v>2 (0.002 secs)</v>
      </c>
      <c r="Q151" s="52" t="str">
        <f t="shared" si="42"/>
        <v>2 (0.002 secs)</v>
      </c>
      <c r="R151" s="52" t="str">
        <f t="shared" si="42"/>
        <v>2 (0.002 secs)</v>
      </c>
      <c r="S151" s="52" t="str">
        <f t="shared" si="42"/>
        <v>2 (0.002 secs)</v>
      </c>
      <c r="T151" s="52" t="str">
        <f t="shared" si="42"/>
        <v>2 (0.002 secs)</v>
      </c>
      <c r="U151" s="115"/>
    </row>
    <row r="152" spans="1:21" ht="15" thickBot="1">
      <c r="A152" s="116" t="s">
        <v>128</v>
      </c>
      <c r="B152" s="117">
        <v>4</v>
      </c>
      <c r="C152" s="117">
        <v>407</v>
      </c>
      <c r="D152" s="117">
        <v>18</v>
      </c>
      <c r="E152" s="117">
        <v>1575</v>
      </c>
      <c r="F152" s="117">
        <v>1575</v>
      </c>
      <c r="G152" s="117">
        <v>1575</v>
      </c>
      <c r="H152" s="117">
        <v>2</v>
      </c>
      <c r="I152" s="117">
        <v>1575</v>
      </c>
      <c r="J152" s="79">
        <v>0.5</v>
      </c>
      <c r="K152" s="53">
        <v>2.2396400000000001</v>
      </c>
      <c r="L152" s="118">
        <v>5.3</v>
      </c>
      <c r="M152" s="117">
        <v>0.44</v>
      </c>
      <c r="N152" s="53" t="str">
        <f t="shared" si="43"/>
        <v>407 (0.407 secs)</v>
      </c>
      <c r="O152" s="53" t="str">
        <f t="shared" si="43"/>
        <v>18 (0.018 secs)</v>
      </c>
      <c r="P152" s="53" t="str">
        <f t="shared" si="42"/>
        <v>1575 (1.575 secs)</v>
      </c>
      <c r="Q152" s="53" t="str">
        <f t="shared" si="42"/>
        <v>1575 (1.575 secs)</v>
      </c>
      <c r="R152" s="53" t="str">
        <f t="shared" si="42"/>
        <v>1575 (1.575 secs)</v>
      </c>
      <c r="S152" s="53" t="str">
        <f t="shared" si="42"/>
        <v>2 (0.002 secs)</v>
      </c>
      <c r="T152" s="53" t="str">
        <f t="shared" si="42"/>
        <v>1575 (1.575 secs)</v>
      </c>
      <c r="U152" s="119"/>
    </row>
    <row r="154" spans="1:21">
      <c r="A154" s="101" t="s">
        <v>79</v>
      </c>
      <c r="B154" s="102" t="s">
        <v>80</v>
      </c>
      <c r="C154" s="105"/>
      <c r="D154" s="104"/>
      <c r="E154" s="105"/>
      <c r="F154" s="105"/>
      <c r="G154" s="105"/>
      <c r="H154" s="105"/>
      <c r="I154" s="105"/>
      <c r="J154" s="105"/>
      <c r="K154" s="105"/>
      <c r="N154" s="121"/>
      <c r="O154" s="86"/>
      <c r="P154" s="86"/>
      <c r="Q154" s="86"/>
      <c r="R154" s="86"/>
      <c r="S154" s="86"/>
      <c r="T154" s="130"/>
    </row>
    <row r="155" spans="1:21">
      <c r="A155" s="134" t="s">
        <v>13</v>
      </c>
      <c r="B155" s="107" t="s">
        <v>180</v>
      </c>
      <c r="C155" s="104"/>
      <c r="D155" s="104"/>
      <c r="E155" s="105"/>
      <c r="F155" s="105"/>
      <c r="G155" s="105"/>
      <c r="H155" s="105"/>
      <c r="I155" s="105"/>
      <c r="J155" s="105"/>
      <c r="K155" s="105"/>
      <c r="N155" s="121"/>
      <c r="O155" s="86"/>
      <c r="P155" s="86"/>
      <c r="Q155" s="86"/>
      <c r="R155" s="86"/>
      <c r="S155" s="86"/>
      <c r="T155" s="130"/>
    </row>
    <row r="156" spans="1:21">
      <c r="A156" s="135"/>
      <c r="B156" s="129"/>
      <c r="D156" s="86"/>
      <c r="N156" s="121"/>
      <c r="O156" s="86"/>
      <c r="P156" s="86"/>
      <c r="Q156" s="86"/>
      <c r="R156" s="86"/>
      <c r="S156" s="86"/>
      <c r="T156" s="130"/>
    </row>
    <row r="157" spans="1:21">
      <c r="A157" s="108" t="s">
        <v>114</v>
      </c>
      <c r="B157" s="109" t="s">
        <v>115</v>
      </c>
      <c r="C157" s="109" t="s">
        <v>116</v>
      </c>
      <c r="D157" s="109" t="s">
        <v>117</v>
      </c>
      <c r="E157" s="109" t="s">
        <v>118</v>
      </c>
      <c r="F157" s="109" t="s">
        <v>119</v>
      </c>
      <c r="G157" s="109" t="s">
        <v>120</v>
      </c>
      <c r="H157" s="109" t="s">
        <v>121</v>
      </c>
      <c r="I157" s="109" t="s">
        <v>122</v>
      </c>
      <c r="J157" s="109" t="s">
        <v>123</v>
      </c>
      <c r="K157" s="109" t="s">
        <v>143</v>
      </c>
      <c r="L157" s="109" t="s">
        <v>125</v>
      </c>
      <c r="M157" s="109" t="s">
        <v>126</v>
      </c>
      <c r="N157" s="137" t="s">
        <v>116</v>
      </c>
      <c r="O157" s="109" t="s">
        <v>117</v>
      </c>
      <c r="P157" s="109" t="s">
        <v>118</v>
      </c>
      <c r="Q157" s="109" t="s">
        <v>119</v>
      </c>
      <c r="R157" s="109" t="s">
        <v>120</v>
      </c>
      <c r="S157" s="109" t="s">
        <v>121</v>
      </c>
      <c r="T157" s="109" t="s">
        <v>122</v>
      </c>
      <c r="U157" s="110" t="s">
        <v>127</v>
      </c>
    </row>
    <row r="158" spans="1:21">
      <c r="A158" s="112" t="s">
        <v>33</v>
      </c>
      <c r="B158" s="113">
        <v>1</v>
      </c>
      <c r="C158" s="113">
        <v>1291336</v>
      </c>
      <c r="D158" s="113">
        <v>1291336</v>
      </c>
      <c r="E158" s="113">
        <v>1291336</v>
      </c>
      <c r="F158" s="113">
        <v>1291336</v>
      </c>
      <c r="G158" s="113">
        <v>1291336</v>
      </c>
      <c r="H158" s="113">
        <v>1291336</v>
      </c>
      <c r="I158" s="113">
        <v>1291336</v>
      </c>
      <c r="J158" s="69">
        <v>0</v>
      </c>
      <c r="K158" s="52">
        <v>7.6999999999999996E-4</v>
      </c>
      <c r="L158" s="114">
        <v>0</v>
      </c>
      <c r="M158" s="113">
        <v>0</v>
      </c>
      <c r="N158" s="50" t="str">
        <f>C158&amp;" ("&amp;TEXT(C158/60000,"0.000")&amp;" mins)"</f>
        <v>1291336 (21.522 mins)</v>
      </c>
      <c r="O158" s="52" t="str">
        <f t="shared" ref="O158:T158" si="44">D158&amp;" ("&amp;TEXT(D158/60000,"0.000")&amp;" mins)"</f>
        <v>1291336 (21.522 mins)</v>
      </c>
      <c r="P158" s="52" t="str">
        <f t="shared" si="44"/>
        <v>1291336 (21.522 mins)</v>
      </c>
      <c r="Q158" s="52" t="str">
        <f t="shared" si="44"/>
        <v>1291336 (21.522 mins)</v>
      </c>
      <c r="R158" s="52" t="str">
        <f t="shared" si="44"/>
        <v>1291336 (21.522 mins)</v>
      </c>
      <c r="S158" s="52" t="str">
        <f t="shared" si="44"/>
        <v>1291336 (21.522 mins)</v>
      </c>
      <c r="T158" s="52" t="str">
        <f t="shared" si="44"/>
        <v>1291336 (21.522 mins)</v>
      </c>
      <c r="U158" s="115" t="s">
        <v>156</v>
      </c>
    </row>
    <row r="159" spans="1:21">
      <c r="A159" s="112" t="s">
        <v>38</v>
      </c>
      <c r="B159" s="113">
        <v>1</v>
      </c>
      <c r="C159" s="113">
        <v>23</v>
      </c>
      <c r="D159" s="113">
        <v>23</v>
      </c>
      <c r="E159" s="113">
        <v>23</v>
      </c>
      <c r="F159" s="113">
        <v>23</v>
      </c>
      <c r="G159" s="113">
        <v>23</v>
      </c>
      <c r="H159" s="113">
        <v>23</v>
      </c>
      <c r="I159" s="113">
        <v>23</v>
      </c>
      <c r="J159" s="69">
        <v>0</v>
      </c>
      <c r="K159" s="52">
        <v>43.478259999999999</v>
      </c>
      <c r="L159" s="114">
        <v>189.75</v>
      </c>
      <c r="M159" s="113">
        <v>14.61</v>
      </c>
      <c r="N159" s="52" t="str">
        <f t="shared" ref="N159:T162" si="45">C159&amp;" ("&amp;TEXT(C159/1000,"0.000")&amp;" secs)"</f>
        <v>23 (0.023 secs)</v>
      </c>
      <c r="O159" s="52" t="str">
        <f t="shared" si="45"/>
        <v>23 (0.023 secs)</v>
      </c>
      <c r="P159" s="52" t="str">
        <f t="shared" si="45"/>
        <v>23 (0.023 secs)</v>
      </c>
      <c r="Q159" s="52" t="str">
        <f t="shared" si="45"/>
        <v>23 (0.023 secs)</v>
      </c>
      <c r="R159" s="52" t="str">
        <f t="shared" si="45"/>
        <v>23 (0.023 secs)</v>
      </c>
      <c r="S159" s="52" t="str">
        <f t="shared" si="45"/>
        <v>23 (0.023 secs)</v>
      </c>
      <c r="T159" s="52" t="str">
        <f t="shared" si="45"/>
        <v>23 (0.023 secs)</v>
      </c>
      <c r="U159" s="115"/>
    </row>
    <row r="160" spans="1:21">
      <c r="A160" s="112" t="s">
        <v>39</v>
      </c>
      <c r="B160" s="113">
        <v>1</v>
      </c>
      <c r="C160" s="113">
        <v>71</v>
      </c>
      <c r="D160" s="113">
        <v>71</v>
      </c>
      <c r="E160" s="113">
        <v>71</v>
      </c>
      <c r="F160" s="113">
        <v>71</v>
      </c>
      <c r="G160" s="113">
        <v>71</v>
      </c>
      <c r="H160" s="113">
        <v>71</v>
      </c>
      <c r="I160" s="113">
        <v>71</v>
      </c>
      <c r="J160" s="69">
        <v>0</v>
      </c>
      <c r="K160" s="52">
        <v>14.08451</v>
      </c>
      <c r="L160" s="114">
        <v>566.25</v>
      </c>
      <c r="M160" s="113">
        <v>5.32</v>
      </c>
      <c r="N160" s="52" t="str">
        <f t="shared" si="45"/>
        <v>71 (0.071 secs)</v>
      </c>
      <c r="O160" s="52" t="str">
        <f t="shared" si="45"/>
        <v>71 (0.071 secs)</v>
      </c>
      <c r="P160" s="52" t="str">
        <f t="shared" si="45"/>
        <v>71 (0.071 secs)</v>
      </c>
      <c r="Q160" s="52" t="str">
        <f t="shared" si="45"/>
        <v>71 (0.071 secs)</v>
      </c>
      <c r="R160" s="52" t="str">
        <f t="shared" si="45"/>
        <v>71 (0.071 secs)</v>
      </c>
      <c r="S160" s="52" t="str">
        <f t="shared" si="45"/>
        <v>71 (0.071 secs)</v>
      </c>
      <c r="T160" s="52" t="str">
        <f t="shared" si="45"/>
        <v>71 (0.071 secs)</v>
      </c>
      <c r="U160" s="115"/>
    </row>
    <row r="161" spans="1:21">
      <c r="A161" s="112" t="s">
        <v>40</v>
      </c>
      <c r="B161" s="113">
        <v>1</v>
      </c>
      <c r="C161" s="113">
        <v>14</v>
      </c>
      <c r="D161" s="113">
        <v>14</v>
      </c>
      <c r="E161" s="113">
        <v>14</v>
      </c>
      <c r="F161" s="113">
        <v>14</v>
      </c>
      <c r="G161" s="113">
        <v>14</v>
      </c>
      <c r="H161" s="113">
        <v>14</v>
      </c>
      <c r="I161" s="113">
        <v>14</v>
      </c>
      <c r="J161" s="69">
        <v>0</v>
      </c>
      <c r="K161" s="52">
        <v>71.428569999999993</v>
      </c>
      <c r="L161" s="114">
        <v>47.15</v>
      </c>
      <c r="M161" s="113">
        <v>25.95</v>
      </c>
      <c r="N161" s="52" t="str">
        <f t="shared" si="45"/>
        <v>14 (0.014 secs)</v>
      </c>
      <c r="O161" s="52" t="str">
        <f t="shared" si="45"/>
        <v>14 (0.014 secs)</v>
      </c>
      <c r="P161" s="52" t="str">
        <f t="shared" si="45"/>
        <v>14 (0.014 secs)</v>
      </c>
      <c r="Q161" s="52" t="str">
        <f t="shared" si="45"/>
        <v>14 (0.014 secs)</v>
      </c>
      <c r="R161" s="52" t="str">
        <f t="shared" si="45"/>
        <v>14 (0.014 secs)</v>
      </c>
      <c r="S161" s="52" t="str">
        <f t="shared" si="45"/>
        <v>14 (0.014 secs)</v>
      </c>
      <c r="T161" s="52" t="str">
        <f t="shared" si="45"/>
        <v>14 (0.014 secs)</v>
      </c>
      <c r="U161" s="115"/>
    </row>
    <row r="162" spans="1:21" ht="15" thickBot="1">
      <c r="A162" s="116" t="s">
        <v>128</v>
      </c>
      <c r="B162" s="117">
        <v>4</v>
      </c>
      <c r="C162" s="117">
        <v>322861</v>
      </c>
      <c r="D162" s="117">
        <v>23</v>
      </c>
      <c r="E162" s="117">
        <v>1291336</v>
      </c>
      <c r="F162" s="117">
        <v>1291336</v>
      </c>
      <c r="G162" s="117">
        <v>1291336</v>
      </c>
      <c r="H162" s="117">
        <v>14</v>
      </c>
      <c r="I162" s="117">
        <v>1291336</v>
      </c>
      <c r="J162" s="79">
        <v>0</v>
      </c>
      <c r="K162" s="53">
        <v>3.0999999999999999E-3</v>
      </c>
      <c r="L162" s="118">
        <v>0.04</v>
      </c>
      <c r="M162" s="117">
        <v>0</v>
      </c>
      <c r="N162" s="57" t="str">
        <f>C162&amp;" ("&amp;TEXT(C162/60000,"0.000")&amp;" mins)"</f>
        <v>322861 (5.381 mins)</v>
      </c>
      <c r="O162" s="53" t="str">
        <f t="shared" si="45"/>
        <v>23 (0.023 secs)</v>
      </c>
      <c r="P162" s="53" t="str">
        <f>E162&amp;" ("&amp;TEXT(E162/60000,"0.000")&amp;" mins)"</f>
        <v>1291336 (21.522 mins)</v>
      </c>
      <c r="Q162" s="53" t="str">
        <f t="shared" ref="Q162:T162" si="46">F162&amp;" ("&amp;TEXT(F162/60000,"0.000")&amp;" mins)"</f>
        <v>1291336 (21.522 mins)</v>
      </c>
      <c r="R162" s="53" t="str">
        <f t="shared" si="46"/>
        <v>1291336 (21.522 mins)</v>
      </c>
      <c r="S162" s="53" t="str">
        <f>H162&amp;" ("&amp;TEXT(H162/1000,"0.000")&amp;" secs)"</f>
        <v>14 (0.014 secs)</v>
      </c>
      <c r="T162" s="53" t="str">
        <f t="shared" si="46"/>
        <v>1291336 (21.522 mins)</v>
      </c>
      <c r="U162" s="119"/>
    </row>
    <row r="164" spans="1:21">
      <c r="A164" s="101" t="s">
        <v>82</v>
      </c>
      <c r="B164" s="102" t="s">
        <v>83</v>
      </c>
      <c r="C164" s="105"/>
      <c r="D164" s="104"/>
      <c r="E164" s="105"/>
      <c r="F164" s="105"/>
      <c r="G164" s="105"/>
      <c r="H164" s="105"/>
      <c r="I164" s="105"/>
      <c r="J164" s="105"/>
      <c r="K164" s="105"/>
      <c r="N164" s="121"/>
      <c r="O164" s="86"/>
      <c r="P164" s="86"/>
      <c r="Q164" s="86"/>
      <c r="R164" s="86"/>
      <c r="S164" s="86"/>
      <c r="T164" s="130"/>
    </row>
    <row r="165" spans="1:21">
      <c r="A165" s="134" t="s">
        <v>13</v>
      </c>
      <c r="B165" s="107" t="s">
        <v>181</v>
      </c>
      <c r="C165" s="104"/>
      <c r="D165" s="104"/>
      <c r="E165" s="105"/>
      <c r="F165" s="105"/>
      <c r="G165" s="105"/>
      <c r="H165" s="105"/>
      <c r="I165" s="105"/>
      <c r="J165" s="105"/>
      <c r="K165" s="105"/>
      <c r="N165" s="121"/>
      <c r="O165" s="86"/>
      <c r="P165" s="86"/>
      <c r="Q165" s="86"/>
      <c r="R165" s="86"/>
      <c r="S165" s="86"/>
      <c r="T165" s="130"/>
    </row>
    <row r="166" spans="1:21">
      <c r="A166" s="135"/>
      <c r="B166" s="129"/>
      <c r="D166" s="86"/>
      <c r="N166" s="121"/>
      <c r="O166" s="86"/>
      <c r="P166" s="86"/>
      <c r="Q166" s="86"/>
      <c r="R166" s="86"/>
      <c r="S166" s="86"/>
      <c r="T166" s="130"/>
    </row>
    <row r="167" spans="1:21">
      <c r="A167" s="108" t="s">
        <v>114</v>
      </c>
      <c r="B167" s="109" t="s">
        <v>115</v>
      </c>
      <c r="C167" s="109" t="s">
        <v>116</v>
      </c>
      <c r="D167" s="109" t="s">
        <v>117</v>
      </c>
      <c r="E167" s="109" t="s">
        <v>118</v>
      </c>
      <c r="F167" s="109" t="s">
        <v>119</v>
      </c>
      <c r="G167" s="109" t="s">
        <v>120</v>
      </c>
      <c r="H167" s="109" t="s">
        <v>121</v>
      </c>
      <c r="I167" s="109" t="s">
        <v>122</v>
      </c>
      <c r="J167" s="109" t="s">
        <v>123</v>
      </c>
      <c r="K167" s="109" t="s">
        <v>143</v>
      </c>
      <c r="L167" s="109" t="s">
        <v>125</v>
      </c>
      <c r="M167" s="109" t="s">
        <v>126</v>
      </c>
      <c r="N167" s="109" t="s">
        <v>116</v>
      </c>
      <c r="O167" s="109" t="s">
        <v>117</v>
      </c>
      <c r="P167" s="109" t="s">
        <v>118</v>
      </c>
      <c r="Q167" s="109" t="s">
        <v>119</v>
      </c>
      <c r="R167" s="109" t="s">
        <v>120</v>
      </c>
      <c r="S167" s="109" t="s">
        <v>121</v>
      </c>
      <c r="T167" s="109" t="s">
        <v>122</v>
      </c>
      <c r="U167" s="110" t="s">
        <v>127</v>
      </c>
    </row>
    <row r="168" spans="1:21">
      <c r="A168" s="112" t="s">
        <v>33</v>
      </c>
      <c r="B168" s="113">
        <v>1</v>
      </c>
      <c r="C168" s="113">
        <v>3537574</v>
      </c>
      <c r="D168" s="113">
        <v>3537574</v>
      </c>
      <c r="E168" s="113">
        <v>3537574</v>
      </c>
      <c r="F168" s="113">
        <v>3537574</v>
      </c>
      <c r="G168" s="113">
        <v>3537574</v>
      </c>
      <c r="H168" s="113">
        <v>3537574</v>
      </c>
      <c r="I168" s="113">
        <v>3537574</v>
      </c>
      <c r="J168" s="69">
        <v>0</v>
      </c>
      <c r="K168" s="52">
        <v>2.7999999999999998E-4</v>
      </c>
      <c r="L168" s="114">
        <v>0</v>
      </c>
      <c r="M168" s="113">
        <v>0</v>
      </c>
      <c r="N168" s="50" t="str">
        <f>C168&amp;" ("&amp;TEXT(C168/60000,"0.000")&amp;" mins)"</f>
        <v>3537574 (58.960 mins)</v>
      </c>
      <c r="O168" s="52" t="str">
        <f t="shared" ref="O168:T168" si="47">D168&amp;" ("&amp;TEXT(D168/60000,"0.000")&amp;" mins)"</f>
        <v>3537574 (58.960 mins)</v>
      </c>
      <c r="P168" s="52" t="str">
        <f t="shared" si="47"/>
        <v>3537574 (58.960 mins)</v>
      </c>
      <c r="Q168" s="52" t="str">
        <f t="shared" si="47"/>
        <v>3537574 (58.960 mins)</v>
      </c>
      <c r="R168" s="52" t="str">
        <f t="shared" si="47"/>
        <v>3537574 (58.960 mins)</v>
      </c>
      <c r="S168" s="52" t="str">
        <f t="shared" si="47"/>
        <v>3537574 (58.960 mins)</v>
      </c>
      <c r="T168" s="52" t="str">
        <f t="shared" si="47"/>
        <v>3537574 (58.960 mins)</v>
      </c>
      <c r="U168" s="115" t="s">
        <v>145</v>
      </c>
    </row>
    <row r="169" spans="1:21">
      <c r="A169" s="112" t="s">
        <v>38</v>
      </c>
      <c r="B169" s="113">
        <v>1</v>
      </c>
      <c r="C169" s="113">
        <v>26</v>
      </c>
      <c r="D169" s="113">
        <v>26</v>
      </c>
      <c r="E169" s="113">
        <v>26</v>
      </c>
      <c r="F169" s="113">
        <v>26</v>
      </c>
      <c r="G169" s="113">
        <v>26</v>
      </c>
      <c r="H169" s="113">
        <v>26</v>
      </c>
      <c r="I169" s="113">
        <v>26</v>
      </c>
      <c r="J169" s="69">
        <v>0</v>
      </c>
      <c r="K169" s="52">
        <v>38.461539999999999</v>
      </c>
      <c r="L169" s="114">
        <v>183.37</v>
      </c>
      <c r="M169" s="113">
        <v>12.92</v>
      </c>
      <c r="N169" s="52" t="str">
        <f t="shared" ref="N169:T171" si="48">C169&amp;" ("&amp;TEXT(C169/1000,"0.000")&amp;" secs)"</f>
        <v>26 (0.026 secs)</v>
      </c>
      <c r="O169" s="52" t="str">
        <f t="shared" si="48"/>
        <v>26 (0.026 secs)</v>
      </c>
      <c r="P169" s="52" t="str">
        <f t="shared" si="48"/>
        <v>26 (0.026 secs)</v>
      </c>
      <c r="Q169" s="52" t="str">
        <f t="shared" si="48"/>
        <v>26 (0.026 secs)</v>
      </c>
      <c r="R169" s="52" t="str">
        <f t="shared" si="48"/>
        <v>26 (0.026 secs)</v>
      </c>
      <c r="S169" s="52" t="str">
        <f t="shared" si="48"/>
        <v>26 (0.026 secs)</v>
      </c>
      <c r="T169" s="52" t="str">
        <f t="shared" si="48"/>
        <v>26 (0.026 secs)</v>
      </c>
      <c r="U169" s="115"/>
    </row>
    <row r="170" spans="1:21">
      <c r="A170" s="112" t="s">
        <v>39</v>
      </c>
      <c r="B170" s="113">
        <v>1</v>
      </c>
      <c r="C170" s="113">
        <v>149</v>
      </c>
      <c r="D170" s="113">
        <v>149</v>
      </c>
      <c r="E170" s="113">
        <v>149</v>
      </c>
      <c r="F170" s="113">
        <v>149</v>
      </c>
      <c r="G170" s="113">
        <v>149</v>
      </c>
      <c r="H170" s="113">
        <v>149</v>
      </c>
      <c r="I170" s="113">
        <v>149</v>
      </c>
      <c r="J170" s="69">
        <v>0</v>
      </c>
      <c r="K170" s="52">
        <v>6.7114099999999999</v>
      </c>
      <c r="L170" s="114">
        <v>827.31</v>
      </c>
      <c r="M170" s="113">
        <v>2.54</v>
      </c>
      <c r="N170" s="52" t="str">
        <f t="shared" si="48"/>
        <v>149 (0.149 secs)</v>
      </c>
      <c r="O170" s="52" t="str">
        <f t="shared" si="48"/>
        <v>149 (0.149 secs)</v>
      </c>
      <c r="P170" s="52" t="str">
        <f t="shared" si="48"/>
        <v>149 (0.149 secs)</v>
      </c>
      <c r="Q170" s="52" t="str">
        <f t="shared" si="48"/>
        <v>149 (0.149 secs)</v>
      </c>
      <c r="R170" s="52" t="str">
        <f t="shared" si="48"/>
        <v>149 (0.149 secs)</v>
      </c>
      <c r="S170" s="52" t="str">
        <f t="shared" si="48"/>
        <v>149 (0.149 secs)</v>
      </c>
      <c r="T170" s="52" t="str">
        <f t="shared" si="48"/>
        <v>149 (0.149 secs)</v>
      </c>
      <c r="U170" s="115"/>
    </row>
    <row r="171" spans="1:21">
      <c r="A171" s="112" t="s">
        <v>40</v>
      </c>
      <c r="B171" s="113">
        <v>1</v>
      </c>
      <c r="C171" s="113">
        <v>12</v>
      </c>
      <c r="D171" s="113">
        <v>12</v>
      </c>
      <c r="E171" s="113">
        <v>12</v>
      </c>
      <c r="F171" s="113">
        <v>12</v>
      </c>
      <c r="G171" s="113">
        <v>12</v>
      </c>
      <c r="H171" s="113">
        <v>12</v>
      </c>
      <c r="I171" s="113">
        <v>12</v>
      </c>
      <c r="J171" s="69">
        <v>0</v>
      </c>
      <c r="K171" s="52">
        <v>83.333330000000004</v>
      </c>
      <c r="L171" s="114">
        <v>55.01</v>
      </c>
      <c r="M171" s="113">
        <v>30.35</v>
      </c>
      <c r="N171" s="52" t="str">
        <f t="shared" si="48"/>
        <v>12 (0.012 secs)</v>
      </c>
      <c r="O171" s="52" t="str">
        <f t="shared" si="48"/>
        <v>12 (0.012 secs)</v>
      </c>
      <c r="P171" s="52" t="str">
        <f t="shared" si="48"/>
        <v>12 (0.012 secs)</v>
      </c>
      <c r="Q171" s="52" t="str">
        <f t="shared" si="48"/>
        <v>12 (0.012 secs)</v>
      </c>
      <c r="R171" s="52" t="str">
        <f t="shared" si="48"/>
        <v>12 (0.012 secs)</v>
      </c>
      <c r="S171" s="52" t="str">
        <f t="shared" si="48"/>
        <v>12 (0.012 secs)</v>
      </c>
      <c r="T171" s="52" t="str">
        <f t="shared" si="48"/>
        <v>12 (0.012 secs)</v>
      </c>
      <c r="U171" s="115"/>
    </row>
    <row r="172" spans="1:21" ht="15" thickBot="1">
      <c r="A172" s="116" t="s">
        <v>128</v>
      </c>
      <c r="B172" s="117">
        <v>4</v>
      </c>
      <c r="C172" s="117">
        <v>884440</v>
      </c>
      <c r="D172" s="117">
        <v>26</v>
      </c>
      <c r="E172" s="117">
        <v>3537574</v>
      </c>
      <c r="F172" s="117">
        <v>3537574</v>
      </c>
      <c r="G172" s="117">
        <v>3537574</v>
      </c>
      <c r="H172" s="117">
        <v>12</v>
      </c>
      <c r="I172" s="117">
        <v>3537574</v>
      </c>
      <c r="J172" s="79">
        <v>0</v>
      </c>
      <c r="K172" s="53">
        <v>1.1299999999999999E-3</v>
      </c>
      <c r="L172" s="118">
        <v>0.04</v>
      </c>
      <c r="M172" s="117">
        <v>0</v>
      </c>
      <c r="N172" s="57" t="str">
        <f>C172&amp;" ("&amp;TEXT(C172/60000,"0.000")&amp;" mins)"</f>
        <v>884440 (14.741 mins)</v>
      </c>
      <c r="O172" s="53" t="str">
        <f t="shared" ref="O172:T172" si="49">D172&amp;" ("&amp;TEXT(D172/60000,"0.000")&amp;" mins)"</f>
        <v>26 (0.000 mins)</v>
      </c>
      <c r="P172" s="53" t="str">
        <f t="shared" si="49"/>
        <v>3537574 (58.960 mins)</v>
      </c>
      <c r="Q172" s="53" t="str">
        <f t="shared" si="49"/>
        <v>3537574 (58.960 mins)</v>
      </c>
      <c r="R172" s="53" t="str">
        <f t="shared" si="49"/>
        <v>3537574 (58.960 mins)</v>
      </c>
      <c r="S172" s="53" t="str">
        <f>H172&amp;" ("&amp;TEXT(H172/1000,"0.000")&amp;" secs)"</f>
        <v>12 (0.012 secs)</v>
      </c>
      <c r="T172" s="53" t="str">
        <f t="shared" si="49"/>
        <v>3537574 (58.960 mins)</v>
      </c>
      <c r="U172" s="119"/>
    </row>
    <row r="174" spans="1:21">
      <c r="A174" s="101" t="s">
        <v>85</v>
      </c>
      <c r="B174" s="102" t="s">
        <v>86</v>
      </c>
      <c r="C174" s="105"/>
      <c r="D174" s="104"/>
      <c r="E174" s="105"/>
      <c r="F174" s="105"/>
      <c r="G174" s="105"/>
      <c r="H174" s="105"/>
      <c r="I174" s="105"/>
      <c r="J174" s="105"/>
      <c r="K174" s="105"/>
      <c r="N174" s="121"/>
      <c r="O174" s="86"/>
      <c r="P174" s="86"/>
      <c r="Q174" s="86"/>
      <c r="R174" s="86"/>
      <c r="S174" s="86"/>
      <c r="T174" s="130"/>
    </row>
    <row r="175" spans="1:21">
      <c r="A175" s="134" t="s">
        <v>13</v>
      </c>
      <c r="B175" s="107" t="s">
        <v>182</v>
      </c>
      <c r="C175" s="104"/>
      <c r="D175" s="104"/>
      <c r="E175" s="105"/>
      <c r="F175" s="105"/>
      <c r="G175" s="105"/>
      <c r="H175" s="105"/>
      <c r="I175" s="105"/>
      <c r="J175" s="105"/>
      <c r="K175" s="105"/>
      <c r="N175" s="121"/>
      <c r="O175" s="86"/>
      <c r="P175" s="86"/>
      <c r="Q175" s="86"/>
      <c r="R175" s="86"/>
      <c r="S175" s="86"/>
      <c r="T175" s="130"/>
    </row>
    <row r="176" spans="1:21">
      <c r="A176" s="135"/>
      <c r="B176" s="129"/>
      <c r="D176" s="86"/>
      <c r="N176" s="121"/>
      <c r="O176" s="86"/>
      <c r="P176" s="86"/>
      <c r="Q176" s="86"/>
      <c r="R176" s="86"/>
      <c r="S176" s="86"/>
      <c r="T176" s="130"/>
    </row>
    <row r="177" spans="1:21">
      <c r="A177" s="108" t="s">
        <v>114</v>
      </c>
      <c r="B177" s="109" t="s">
        <v>115</v>
      </c>
      <c r="C177" s="109" t="s">
        <v>116</v>
      </c>
      <c r="D177" s="109" t="s">
        <v>117</v>
      </c>
      <c r="E177" s="109" t="s">
        <v>118</v>
      </c>
      <c r="F177" s="109" t="s">
        <v>119</v>
      </c>
      <c r="G177" s="109" t="s">
        <v>120</v>
      </c>
      <c r="H177" s="109" t="s">
        <v>121</v>
      </c>
      <c r="I177" s="109" t="s">
        <v>122</v>
      </c>
      <c r="J177" s="109" t="s">
        <v>123</v>
      </c>
      <c r="K177" s="109" t="s">
        <v>143</v>
      </c>
      <c r="L177" s="109" t="s">
        <v>125</v>
      </c>
      <c r="M177" s="109" t="s">
        <v>126</v>
      </c>
      <c r="N177" s="109" t="s">
        <v>116</v>
      </c>
      <c r="O177" s="109" t="s">
        <v>117</v>
      </c>
      <c r="P177" s="109" t="s">
        <v>118</v>
      </c>
      <c r="Q177" s="109" t="s">
        <v>119</v>
      </c>
      <c r="R177" s="109" t="s">
        <v>120</v>
      </c>
      <c r="S177" s="109" t="s">
        <v>121</v>
      </c>
      <c r="T177" s="109" t="s">
        <v>122</v>
      </c>
      <c r="U177" s="110" t="s">
        <v>127</v>
      </c>
    </row>
    <row r="178" spans="1:21">
      <c r="A178" s="112" t="s">
        <v>33</v>
      </c>
      <c r="B178" s="113">
        <v>1</v>
      </c>
      <c r="C178" s="113">
        <v>353286</v>
      </c>
      <c r="D178" s="113">
        <v>353286</v>
      </c>
      <c r="E178" s="113">
        <v>353286</v>
      </c>
      <c r="F178" s="113">
        <v>353286</v>
      </c>
      <c r="G178" s="113">
        <v>353286</v>
      </c>
      <c r="H178" s="113">
        <v>353286</v>
      </c>
      <c r="I178" s="113">
        <v>353286</v>
      </c>
      <c r="J178" s="69">
        <v>0</v>
      </c>
      <c r="K178" s="52">
        <v>2.8300000000000001E-3</v>
      </c>
      <c r="L178" s="114">
        <v>0</v>
      </c>
      <c r="M178" s="113">
        <v>0</v>
      </c>
      <c r="N178" s="50" t="str">
        <f>C178&amp;" ("&amp;TEXT(C178/60000,"0.000")&amp;" mins)"</f>
        <v>353286 (5.888 mins)</v>
      </c>
      <c r="O178" s="52" t="str">
        <f t="shared" ref="O178:T178" si="50">D178&amp;" ("&amp;TEXT(D178/60000,"0.000")&amp;" mins)"</f>
        <v>353286 (5.888 mins)</v>
      </c>
      <c r="P178" s="52" t="str">
        <f t="shared" si="50"/>
        <v>353286 (5.888 mins)</v>
      </c>
      <c r="Q178" s="52" t="str">
        <f t="shared" si="50"/>
        <v>353286 (5.888 mins)</v>
      </c>
      <c r="R178" s="52" t="str">
        <f t="shared" si="50"/>
        <v>353286 (5.888 mins)</v>
      </c>
      <c r="S178" s="52" t="str">
        <f t="shared" si="50"/>
        <v>353286 (5.888 mins)</v>
      </c>
      <c r="T178" s="52" t="str">
        <f t="shared" si="50"/>
        <v>353286 (5.888 mins)</v>
      </c>
      <c r="U178" s="115" t="s">
        <v>157</v>
      </c>
    </row>
    <row r="179" spans="1:21">
      <c r="A179" s="112" t="s">
        <v>38</v>
      </c>
      <c r="B179" s="113">
        <v>1</v>
      </c>
      <c r="C179" s="113">
        <v>25</v>
      </c>
      <c r="D179" s="113">
        <v>25</v>
      </c>
      <c r="E179" s="113">
        <v>25</v>
      </c>
      <c r="F179" s="113">
        <v>25</v>
      </c>
      <c r="G179" s="113">
        <v>25</v>
      </c>
      <c r="H179" s="113">
        <v>25</v>
      </c>
      <c r="I179" s="113">
        <v>25</v>
      </c>
      <c r="J179" s="69">
        <v>0</v>
      </c>
      <c r="K179" s="52">
        <v>40</v>
      </c>
      <c r="L179" s="114">
        <v>206.8</v>
      </c>
      <c r="M179" s="113">
        <v>13.44</v>
      </c>
      <c r="N179" s="52" t="str">
        <f t="shared" ref="N179:O182" si="51">C179&amp;" ("&amp;TEXT(C179/1000,"0.000")&amp;" secs)"</f>
        <v>25 (0.025 secs)</v>
      </c>
      <c r="O179" s="52" t="str">
        <f t="shared" si="51"/>
        <v>25 (0.025 secs)</v>
      </c>
      <c r="P179" s="52" t="str">
        <f t="shared" ref="P179:T182" si="52">E179&amp;" ("&amp;TEXT(E179/1000,"0.000")&amp;" secs)"</f>
        <v>25 (0.025 secs)</v>
      </c>
      <c r="Q179" s="52" t="str">
        <f t="shared" si="52"/>
        <v>25 (0.025 secs)</v>
      </c>
      <c r="R179" s="52" t="str">
        <f t="shared" si="52"/>
        <v>25 (0.025 secs)</v>
      </c>
      <c r="S179" s="52" t="str">
        <f t="shared" si="52"/>
        <v>25 (0.025 secs)</v>
      </c>
      <c r="T179" s="52" t="str">
        <f t="shared" si="52"/>
        <v>25 (0.025 secs)</v>
      </c>
      <c r="U179" s="115"/>
    </row>
    <row r="180" spans="1:21">
      <c r="A180" s="112" t="s">
        <v>39</v>
      </c>
      <c r="B180" s="113">
        <v>1</v>
      </c>
      <c r="C180" s="113">
        <v>20</v>
      </c>
      <c r="D180" s="113">
        <v>20</v>
      </c>
      <c r="E180" s="113">
        <v>20</v>
      </c>
      <c r="F180" s="113">
        <v>20</v>
      </c>
      <c r="G180" s="113">
        <v>20</v>
      </c>
      <c r="H180" s="113">
        <v>20</v>
      </c>
      <c r="I180" s="113">
        <v>20</v>
      </c>
      <c r="J180" s="69">
        <v>0</v>
      </c>
      <c r="K180" s="52">
        <v>50</v>
      </c>
      <c r="L180" s="114">
        <v>612.26</v>
      </c>
      <c r="M180" s="113">
        <v>18.899999999999999</v>
      </c>
      <c r="N180" s="52" t="str">
        <f t="shared" si="51"/>
        <v>20 (0.020 secs)</v>
      </c>
      <c r="O180" s="52" t="str">
        <f t="shared" si="51"/>
        <v>20 (0.020 secs)</v>
      </c>
      <c r="P180" s="52" t="str">
        <f t="shared" si="52"/>
        <v>20 (0.020 secs)</v>
      </c>
      <c r="Q180" s="52" t="str">
        <f t="shared" si="52"/>
        <v>20 (0.020 secs)</v>
      </c>
      <c r="R180" s="52" t="str">
        <f t="shared" si="52"/>
        <v>20 (0.020 secs)</v>
      </c>
      <c r="S180" s="52" t="str">
        <f t="shared" si="52"/>
        <v>20 (0.020 secs)</v>
      </c>
      <c r="T180" s="52" t="str">
        <f t="shared" si="52"/>
        <v>20 (0.020 secs)</v>
      </c>
      <c r="U180" s="115"/>
    </row>
    <row r="181" spans="1:21">
      <c r="A181" s="112" t="s">
        <v>40</v>
      </c>
      <c r="B181" s="113">
        <v>1</v>
      </c>
      <c r="C181" s="113">
        <v>14</v>
      </c>
      <c r="D181" s="113">
        <v>14</v>
      </c>
      <c r="E181" s="113">
        <v>14</v>
      </c>
      <c r="F181" s="113">
        <v>14</v>
      </c>
      <c r="G181" s="113">
        <v>14</v>
      </c>
      <c r="H181" s="113">
        <v>14</v>
      </c>
      <c r="I181" s="113">
        <v>14</v>
      </c>
      <c r="J181" s="69">
        <v>0</v>
      </c>
      <c r="K181" s="52">
        <v>71.428569999999993</v>
      </c>
      <c r="L181" s="114">
        <v>47.15</v>
      </c>
      <c r="M181" s="113">
        <v>25.95</v>
      </c>
      <c r="N181" s="52" t="str">
        <f t="shared" si="51"/>
        <v>14 (0.014 secs)</v>
      </c>
      <c r="O181" s="52" t="str">
        <f t="shared" si="51"/>
        <v>14 (0.014 secs)</v>
      </c>
      <c r="P181" s="52" t="str">
        <f t="shared" si="52"/>
        <v>14 (0.014 secs)</v>
      </c>
      <c r="Q181" s="52" t="str">
        <f t="shared" si="52"/>
        <v>14 (0.014 secs)</v>
      </c>
      <c r="R181" s="52" t="str">
        <f t="shared" si="52"/>
        <v>14 (0.014 secs)</v>
      </c>
      <c r="S181" s="52" t="str">
        <f t="shared" si="52"/>
        <v>14 (0.014 secs)</v>
      </c>
      <c r="T181" s="52" t="str">
        <f t="shared" si="52"/>
        <v>14 (0.014 secs)</v>
      </c>
      <c r="U181" s="115"/>
    </row>
    <row r="182" spans="1:21" ht="15" thickBot="1">
      <c r="A182" s="116" t="s">
        <v>128</v>
      </c>
      <c r="B182" s="117">
        <v>4</v>
      </c>
      <c r="C182" s="117">
        <v>88336</v>
      </c>
      <c r="D182" s="117">
        <v>20</v>
      </c>
      <c r="E182" s="117">
        <v>353286</v>
      </c>
      <c r="F182" s="117">
        <v>353286</v>
      </c>
      <c r="G182" s="117">
        <v>353286</v>
      </c>
      <c r="H182" s="117">
        <v>14</v>
      </c>
      <c r="I182" s="117">
        <v>353286</v>
      </c>
      <c r="J182" s="79">
        <v>0</v>
      </c>
      <c r="K182" s="53">
        <v>1.132E-2</v>
      </c>
      <c r="L182" s="118">
        <v>0.05</v>
      </c>
      <c r="M182" s="117">
        <v>0</v>
      </c>
      <c r="N182" s="57" t="str">
        <f t="shared" si="51"/>
        <v>88336 (88.336 secs)</v>
      </c>
      <c r="O182" s="53" t="str">
        <f t="shared" si="51"/>
        <v>20 (0.020 secs)</v>
      </c>
      <c r="P182" s="53" t="str">
        <f t="shared" si="52"/>
        <v>353286 (353.286 secs)</v>
      </c>
      <c r="Q182" s="53" t="str">
        <f t="shared" si="52"/>
        <v>353286 (353.286 secs)</v>
      </c>
      <c r="R182" s="53" t="str">
        <f t="shared" si="52"/>
        <v>353286 (353.286 secs)</v>
      </c>
      <c r="S182" s="53" t="str">
        <f t="shared" si="52"/>
        <v>14 (0.014 secs)</v>
      </c>
      <c r="T182" s="53" t="str">
        <f t="shared" si="52"/>
        <v>353286 (353.286 secs)</v>
      </c>
      <c r="U182" s="119"/>
    </row>
    <row r="184" spans="1:21">
      <c r="A184" s="101" t="s">
        <v>88</v>
      </c>
      <c r="B184" s="102" t="s">
        <v>89</v>
      </c>
      <c r="C184" s="105"/>
      <c r="D184" s="104"/>
      <c r="E184" s="105"/>
      <c r="F184" s="105"/>
      <c r="G184" s="105"/>
      <c r="H184" s="105"/>
      <c r="I184" s="105"/>
      <c r="J184" s="105"/>
      <c r="K184" s="105"/>
      <c r="N184" s="121"/>
      <c r="O184" s="86"/>
      <c r="P184" s="86"/>
      <c r="Q184" s="86"/>
      <c r="R184" s="86"/>
      <c r="S184" s="86"/>
      <c r="T184" s="130"/>
    </row>
    <row r="185" spans="1:21">
      <c r="A185" s="134" t="s">
        <v>13</v>
      </c>
      <c r="B185" s="107" t="s">
        <v>183</v>
      </c>
      <c r="C185" s="104"/>
      <c r="D185" s="104"/>
      <c r="E185" s="105"/>
      <c r="F185" s="105"/>
      <c r="G185" s="105"/>
      <c r="H185" s="105"/>
      <c r="I185" s="105"/>
      <c r="J185" s="105"/>
      <c r="K185" s="105"/>
      <c r="N185" s="121"/>
      <c r="O185" s="86"/>
      <c r="P185" s="86"/>
      <c r="Q185" s="86"/>
      <c r="R185" s="86"/>
      <c r="S185" s="86"/>
      <c r="T185" s="130"/>
    </row>
    <row r="186" spans="1:21">
      <c r="A186" s="135"/>
      <c r="B186" s="129"/>
      <c r="D186" s="86"/>
      <c r="N186" s="121"/>
      <c r="O186" s="86"/>
      <c r="P186" s="86"/>
      <c r="Q186" s="86"/>
      <c r="R186" s="86"/>
      <c r="S186" s="86"/>
      <c r="T186" s="130"/>
    </row>
    <row r="187" spans="1:21">
      <c r="A187" s="108" t="s">
        <v>114</v>
      </c>
      <c r="B187" s="109" t="s">
        <v>115</v>
      </c>
      <c r="C187" s="109" t="s">
        <v>116</v>
      </c>
      <c r="D187" s="109" t="s">
        <v>117</v>
      </c>
      <c r="E187" s="109" t="s">
        <v>118</v>
      </c>
      <c r="F187" s="109" t="s">
        <v>119</v>
      </c>
      <c r="G187" s="109" t="s">
        <v>120</v>
      </c>
      <c r="H187" s="109" t="s">
        <v>121</v>
      </c>
      <c r="I187" s="109" t="s">
        <v>122</v>
      </c>
      <c r="J187" s="109" t="s">
        <v>123</v>
      </c>
      <c r="K187" s="109" t="s">
        <v>143</v>
      </c>
      <c r="L187" s="109" t="s">
        <v>125</v>
      </c>
      <c r="M187" s="109" t="s">
        <v>126</v>
      </c>
      <c r="N187" s="109" t="s">
        <v>116</v>
      </c>
      <c r="O187" s="109" t="s">
        <v>117</v>
      </c>
      <c r="P187" s="109" t="s">
        <v>118</v>
      </c>
      <c r="Q187" s="109" t="s">
        <v>119</v>
      </c>
      <c r="R187" s="109" t="s">
        <v>120</v>
      </c>
      <c r="S187" s="109" t="s">
        <v>121</v>
      </c>
      <c r="T187" s="109" t="s">
        <v>122</v>
      </c>
      <c r="U187" s="110" t="s">
        <v>127</v>
      </c>
    </row>
    <row r="188" spans="1:21">
      <c r="A188" s="112" t="s">
        <v>33</v>
      </c>
      <c r="B188" s="113">
        <v>1</v>
      </c>
      <c r="C188" s="113">
        <v>608689</v>
      </c>
      <c r="D188" s="113">
        <v>608689</v>
      </c>
      <c r="E188" s="113">
        <v>608689</v>
      </c>
      <c r="F188" s="113">
        <v>608689</v>
      </c>
      <c r="G188" s="113">
        <v>608689</v>
      </c>
      <c r="H188" s="113">
        <v>608689</v>
      </c>
      <c r="I188" s="113">
        <v>608689</v>
      </c>
      <c r="J188" s="69">
        <v>0</v>
      </c>
      <c r="K188" s="52">
        <v>1.64E-3</v>
      </c>
      <c r="L188" s="114">
        <v>0</v>
      </c>
      <c r="M188" s="113">
        <v>0</v>
      </c>
      <c r="N188" s="50" t="str">
        <f>C188&amp;" ("&amp;TEXT(C188/60000,"0.000")&amp;" mins)"</f>
        <v>608689 (10.145 mins)</v>
      </c>
      <c r="O188" s="52" t="str">
        <f t="shared" ref="O188:T188" si="53">D188&amp;" ("&amp;TEXT(D188/60000,"0.000")&amp;" mins)"</f>
        <v>608689 (10.145 mins)</v>
      </c>
      <c r="P188" s="52" t="str">
        <f t="shared" si="53"/>
        <v>608689 (10.145 mins)</v>
      </c>
      <c r="Q188" s="52" t="str">
        <f t="shared" si="53"/>
        <v>608689 (10.145 mins)</v>
      </c>
      <c r="R188" s="52" t="str">
        <f t="shared" si="53"/>
        <v>608689 (10.145 mins)</v>
      </c>
      <c r="S188" s="52" t="str">
        <f t="shared" si="53"/>
        <v>608689 (10.145 mins)</v>
      </c>
      <c r="T188" s="52" t="str">
        <f t="shared" si="53"/>
        <v>608689 (10.145 mins)</v>
      </c>
      <c r="U188" s="115" t="s">
        <v>157</v>
      </c>
    </row>
    <row r="189" spans="1:21">
      <c r="A189" s="112" t="s">
        <v>38</v>
      </c>
      <c r="B189" s="113">
        <v>1</v>
      </c>
      <c r="C189" s="113">
        <v>30</v>
      </c>
      <c r="D189" s="113">
        <v>30</v>
      </c>
      <c r="E189" s="113">
        <v>30</v>
      </c>
      <c r="F189" s="113">
        <v>30</v>
      </c>
      <c r="G189" s="113">
        <v>30</v>
      </c>
      <c r="H189" s="113">
        <v>30</v>
      </c>
      <c r="I189" s="113">
        <v>30</v>
      </c>
      <c r="J189" s="69">
        <v>0</v>
      </c>
      <c r="K189" s="52">
        <v>33.333329999999997</v>
      </c>
      <c r="L189" s="114">
        <v>185.61</v>
      </c>
      <c r="M189" s="113">
        <v>11.2</v>
      </c>
      <c r="N189" s="52" t="str">
        <f t="shared" ref="N189:T191" si="54">C189&amp;" ("&amp;TEXT(C189/1000,"0.000")&amp;" secs)"</f>
        <v>30 (0.030 secs)</v>
      </c>
      <c r="O189" s="52" t="str">
        <f t="shared" si="54"/>
        <v>30 (0.030 secs)</v>
      </c>
      <c r="P189" s="52" t="str">
        <f t="shared" si="54"/>
        <v>30 (0.030 secs)</v>
      </c>
      <c r="Q189" s="52" t="str">
        <f t="shared" si="54"/>
        <v>30 (0.030 secs)</v>
      </c>
      <c r="R189" s="52" t="str">
        <f t="shared" si="54"/>
        <v>30 (0.030 secs)</v>
      </c>
      <c r="S189" s="52" t="str">
        <f t="shared" si="54"/>
        <v>30 (0.030 secs)</v>
      </c>
      <c r="T189" s="52" t="str">
        <f t="shared" si="54"/>
        <v>30 (0.030 secs)</v>
      </c>
      <c r="U189" s="115"/>
    </row>
    <row r="190" spans="1:21">
      <c r="A190" s="112" t="s">
        <v>39</v>
      </c>
      <c r="B190" s="113">
        <v>1</v>
      </c>
      <c r="C190" s="113">
        <v>20</v>
      </c>
      <c r="D190" s="113">
        <v>20</v>
      </c>
      <c r="E190" s="113">
        <v>20</v>
      </c>
      <c r="F190" s="113">
        <v>20</v>
      </c>
      <c r="G190" s="113">
        <v>20</v>
      </c>
      <c r="H190" s="113">
        <v>20</v>
      </c>
      <c r="I190" s="113">
        <v>20</v>
      </c>
      <c r="J190" s="69">
        <v>0</v>
      </c>
      <c r="K190" s="52">
        <v>50</v>
      </c>
      <c r="L190" s="114">
        <v>988.23</v>
      </c>
      <c r="M190" s="113">
        <v>18.899999999999999</v>
      </c>
      <c r="N190" s="52" t="str">
        <f t="shared" si="54"/>
        <v>20 (0.020 secs)</v>
      </c>
      <c r="O190" s="52" t="str">
        <f t="shared" si="54"/>
        <v>20 (0.020 secs)</v>
      </c>
      <c r="P190" s="52" t="str">
        <f t="shared" si="54"/>
        <v>20 (0.020 secs)</v>
      </c>
      <c r="Q190" s="52" t="str">
        <f t="shared" si="54"/>
        <v>20 (0.020 secs)</v>
      </c>
      <c r="R190" s="52" t="str">
        <f t="shared" si="54"/>
        <v>20 (0.020 secs)</v>
      </c>
      <c r="S190" s="52" t="str">
        <f t="shared" si="54"/>
        <v>20 (0.020 secs)</v>
      </c>
      <c r="T190" s="52" t="str">
        <f t="shared" si="54"/>
        <v>20 (0.020 secs)</v>
      </c>
      <c r="U190" s="115"/>
    </row>
    <row r="191" spans="1:21">
      <c r="A191" s="112" t="s">
        <v>40</v>
      </c>
      <c r="B191" s="113">
        <v>1</v>
      </c>
      <c r="C191" s="113">
        <v>13</v>
      </c>
      <c r="D191" s="113">
        <v>13</v>
      </c>
      <c r="E191" s="113">
        <v>13</v>
      </c>
      <c r="F191" s="113">
        <v>13</v>
      </c>
      <c r="G191" s="113">
        <v>13</v>
      </c>
      <c r="H191" s="113">
        <v>13</v>
      </c>
      <c r="I191" s="113">
        <v>13</v>
      </c>
      <c r="J191" s="69">
        <v>0</v>
      </c>
      <c r="K191" s="52">
        <v>76.923079999999999</v>
      </c>
      <c r="L191" s="114">
        <v>131.61000000000001</v>
      </c>
      <c r="M191" s="113">
        <v>27.94</v>
      </c>
      <c r="N191" s="52" t="str">
        <f t="shared" si="54"/>
        <v>13 (0.013 secs)</v>
      </c>
      <c r="O191" s="52" t="str">
        <f t="shared" si="54"/>
        <v>13 (0.013 secs)</v>
      </c>
      <c r="P191" s="52" t="str">
        <f t="shared" si="54"/>
        <v>13 (0.013 secs)</v>
      </c>
      <c r="Q191" s="52" t="str">
        <f t="shared" si="54"/>
        <v>13 (0.013 secs)</v>
      </c>
      <c r="R191" s="52" t="str">
        <f t="shared" si="54"/>
        <v>13 (0.013 secs)</v>
      </c>
      <c r="S191" s="52" t="str">
        <f t="shared" si="54"/>
        <v>13 (0.013 secs)</v>
      </c>
      <c r="T191" s="52" t="str">
        <f t="shared" si="54"/>
        <v>13 (0.013 secs)</v>
      </c>
      <c r="U191" s="115"/>
    </row>
    <row r="192" spans="1:21" ht="15" thickBot="1">
      <c r="A192" s="116" t="s">
        <v>128</v>
      </c>
      <c r="B192" s="117">
        <v>4</v>
      </c>
      <c r="C192" s="117">
        <v>152188</v>
      </c>
      <c r="D192" s="117">
        <v>20</v>
      </c>
      <c r="E192" s="117">
        <v>608689</v>
      </c>
      <c r="F192" s="117">
        <v>608689</v>
      </c>
      <c r="G192" s="117">
        <v>608689</v>
      </c>
      <c r="H192" s="117">
        <v>13</v>
      </c>
      <c r="I192" s="117">
        <v>608689</v>
      </c>
      <c r="J192" s="79">
        <v>0</v>
      </c>
      <c r="K192" s="53">
        <v>6.5700000000000003E-3</v>
      </c>
      <c r="L192" s="118">
        <v>0.04</v>
      </c>
      <c r="M192" s="117">
        <v>0</v>
      </c>
      <c r="N192" s="57" t="str">
        <f>C192&amp;" ("&amp;TEXT(C192/60000,"0.000")&amp;" mins)"</f>
        <v>152188 (2.536 mins)</v>
      </c>
      <c r="O192" s="53" t="str">
        <f>D192&amp;" ("&amp;TEXT(D192/1000,"0.000")&amp;" secs)"</f>
        <v>20 (0.020 secs)</v>
      </c>
      <c r="P192" s="53" t="str">
        <f t="shared" ref="P192:R192" si="55">E192&amp;" ("&amp;TEXT(E192/60000,"0.000")&amp;" mins)"</f>
        <v>608689 (10.145 mins)</v>
      </c>
      <c r="Q192" s="53" t="str">
        <f t="shared" si="55"/>
        <v>608689 (10.145 mins)</v>
      </c>
      <c r="R192" s="53" t="str">
        <f t="shared" si="55"/>
        <v>608689 (10.145 mins)</v>
      </c>
      <c r="S192" s="53" t="str">
        <f>H192&amp;" ("&amp;TEXT(H192/1000,"0.000")&amp;" secs)"</f>
        <v>13 (0.013 secs)</v>
      </c>
      <c r="T192" s="53" t="str">
        <f t="shared" ref="T192" si="56">I192&amp;" ("&amp;TEXT(I192/60000,"0.000")&amp;" mins)"</f>
        <v>608689 (10.145 mins)</v>
      </c>
      <c r="U192" s="119"/>
    </row>
    <row r="193" spans="1:21">
      <c r="C193" s="126"/>
      <c r="D193" s="125"/>
      <c r="E193" s="126"/>
      <c r="F193" s="126"/>
    </row>
    <row r="194" spans="1:21">
      <c r="A194" s="101" t="s">
        <v>91</v>
      </c>
      <c r="B194" s="102" t="s">
        <v>158</v>
      </c>
      <c r="C194" s="105"/>
      <c r="D194" s="104"/>
      <c r="E194" s="105"/>
      <c r="F194" s="105"/>
      <c r="G194" s="105"/>
      <c r="H194" s="105"/>
      <c r="I194" s="105"/>
      <c r="J194" s="105"/>
      <c r="K194" s="105"/>
      <c r="N194" s="121"/>
      <c r="O194" s="86"/>
      <c r="P194" s="86"/>
      <c r="Q194" s="86"/>
      <c r="R194" s="86"/>
      <c r="S194" s="86"/>
      <c r="T194" s="130"/>
    </row>
    <row r="195" spans="1:21">
      <c r="A195" s="134" t="s">
        <v>13</v>
      </c>
      <c r="B195" s="107" t="s">
        <v>184</v>
      </c>
      <c r="C195" s="104"/>
      <c r="D195" s="104"/>
      <c r="E195" s="105"/>
      <c r="F195" s="105"/>
      <c r="G195" s="105"/>
      <c r="H195" s="105"/>
      <c r="I195" s="105"/>
      <c r="J195" s="105"/>
      <c r="K195" s="105"/>
      <c r="N195" s="121"/>
      <c r="O195" s="86"/>
      <c r="P195" s="86"/>
      <c r="Q195" s="86"/>
      <c r="R195" s="86"/>
      <c r="S195" s="86"/>
      <c r="T195" s="130"/>
    </row>
    <row r="196" spans="1:21">
      <c r="A196" s="135"/>
      <c r="B196" s="129"/>
      <c r="D196" s="86"/>
      <c r="N196" s="121"/>
      <c r="O196" s="86"/>
      <c r="P196" s="86"/>
      <c r="Q196" s="86"/>
      <c r="R196" s="86"/>
      <c r="S196" s="86"/>
      <c r="T196" s="130"/>
    </row>
    <row r="197" spans="1:21">
      <c r="A197" s="108" t="s">
        <v>114</v>
      </c>
      <c r="B197" s="109" t="s">
        <v>115</v>
      </c>
      <c r="C197" s="109" t="s">
        <v>116</v>
      </c>
      <c r="D197" s="109" t="s">
        <v>117</v>
      </c>
      <c r="E197" s="109" t="s">
        <v>118</v>
      </c>
      <c r="F197" s="109" t="s">
        <v>119</v>
      </c>
      <c r="G197" s="109" t="s">
        <v>120</v>
      </c>
      <c r="H197" s="109" t="s">
        <v>121</v>
      </c>
      <c r="I197" s="109" t="s">
        <v>122</v>
      </c>
      <c r="J197" s="109" t="s">
        <v>123</v>
      </c>
      <c r="K197" s="109" t="s">
        <v>143</v>
      </c>
      <c r="L197" s="109" t="s">
        <v>125</v>
      </c>
      <c r="M197" s="109" t="s">
        <v>126</v>
      </c>
      <c r="N197" s="109" t="s">
        <v>116</v>
      </c>
      <c r="O197" s="109" t="s">
        <v>117</v>
      </c>
      <c r="P197" s="109" t="s">
        <v>118</v>
      </c>
      <c r="Q197" s="109" t="s">
        <v>119</v>
      </c>
      <c r="R197" s="109" t="s">
        <v>120</v>
      </c>
      <c r="S197" s="109" t="s">
        <v>121</v>
      </c>
      <c r="T197" s="109" t="s">
        <v>122</v>
      </c>
      <c r="U197" s="110" t="s">
        <v>127</v>
      </c>
    </row>
    <row r="198" spans="1:21">
      <c r="A198" s="112" t="s">
        <v>33</v>
      </c>
      <c r="B198" s="113">
        <v>1</v>
      </c>
      <c r="C198" s="113">
        <v>11581</v>
      </c>
      <c r="D198" s="113">
        <v>11581</v>
      </c>
      <c r="E198" s="113">
        <v>11581</v>
      </c>
      <c r="F198" s="113">
        <v>11581</v>
      </c>
      <c r="G198" s="113">
        <v>11581</v>
      </c>
      <c r="H198" s="113">
        <v>11581</v>
      </c>
      <c r="I198" s="113">
        <v>11581</v>
      </c>
      <c r="J198" s="69">
        <v>0</v>
      </c>
      <c r="K198" s="52">
        <v>8.6349999999999996E-2</v>
      </c>
      <c r="L198" s="114">
        <v>0.02</v>
      </c>
      <c r="M198" s="113">
        <v>0.04</v>
      </c>
      <c r="N198" s="50" t="str">
        <f>C198&amp;" ("&amp;TEXT(C198/1000,"0.000")&amp;" secs)"</f>
        <v>11581 (11.581 secs)</v>
      </c>
      <c r="O198" s="52" t="str">
        <f>D198&amp;" ("&amp;TEXT(D198/1000,"0.000")&amp;" secs)"</f>
        <v>11581 (11.581 secs)</v>
      </c>
      <c r="P198" s="52" t="str">
        <f t="shared" ref="P198:T202" si="57">E198&amp;" ("&amp;TEXT(E198/1000,"0.000")&amp;" secs)"</f>
        <v>11581 (11.581 secs)</v>
      </c>
      <c r="Q198" s="52" t="str">
        <f t="shared" si="57"/>
        <v>11581 (11.581 secs)</v>
      </c>
      <c r="R198" s="52" t="str">
        <f t="shared" si="57"/>
        <v>11581 (11.581 secs)</v>
      </c>
      <c r="S198" s="52" t="str">
        <f t="shared" si="57"/>
        <v>11581 (11.581 secs)</v>
      </c>
      <c r="T198" s="52" t="str">
        <f t="shared" si="57"/>
        <v>11581 (11.581 secs)</v>
      </c>
      <c r="U198" s="115" t="s">
        <v>157</v>
      </c>
    </row>
    <row r="199" spans="1:21">
      <c r="A199" s="112" t="s">
        <v>38</v>
      </c>
      <c r="B199" s="113">
        <v>1</v>
      </c>
      <c r="C199" s="113">
        <v>24</v>
      </c>
      <c r="D199" s="113">
        <v>24</v>
      </c>
      <c r="E199" s="113">
        <v>24</v>
      </c>
      <c r="F199" s="113">
        <v>24</v>
      </c>
      <c r="G199" s="113">
        <v>24</v>
      </c>
      <c r="H199" s="113">
        <v>24</v>
      </c>
      <c r="I199" s="113">
        <v>24</v>
      </c>
      <c r="J199" s="69">
        <v>0</v>
      </c>
      <c r="K199" s="52">
        <v>41.666670000000003</v>
      </c>
      <c r="L199" s="114">
        <v>248.13</v>
      </c>
      <c r="M199" s="113">
        <v>14</v>
      </c>
      <c r="N199" s="52" t="str">
        <f t="shared" ref="N199:O202" si="58">C199&amp;" ("&amp;TEXT(C199/1000,"0.000")&amp;" secs)"</f>
        <v>24 (0.024 secs)</v>
      </c>
      <c r="O199" s="52" t="str">
        <f t="shared" si="58"/>
        <v>24 (0.024 secs)</v>
      </c>
      <c r="P199" s="52" t="str">
        <f t="shared" si="57"/>
        <v>24 (0.024 secs)</v>
      </c>
      <c r="Q199" s="52" t="str">
        <f t="shared" si="57"/>
        <v>24 (0.024 secs)</v>
      </c>
      <c r="R199" s="52" t="str">
        <f t="shared" si="57"/>
        <v>24 (0.024 secs)</v>
      </c>
      <c r="S199" s="52" t="str">
        <f t="shared" si="57"/>
        <v>24 (0.024 secs)</v>
      </c>
      <c r="T199" s="52" t="str">
        <f t="shared" si="57"/>
        <v>24 (0.024 secs)</v>
      </c>
      <c r="U199" s="115"/>
    </row>
    <row r="200" spans="1:21">
      <c r="A200" s="112" t="s">
        <v>39</v>
      </c>
      <c r="B200" s="113">
        <v>1</v>
      </c>
      <c r="C200" s="113">
        <v>14</v>
      </c>
      <c r="D200" s="113">
        <v>14</v>
      </c>
      <c r="E200" s="113">
        <v>14</v>
      </c>
      <c r="F200" s="113">
        <v>14</v>
      </c>
      <c r="G200" s="113">
        <v>14</v>
      </c>
      <c r="H200" s="113">
        <v>14</v>
      </c>
      <c r="I200" s="113">
        <v>14</v>
      </c>
      <c r="J200" s="69">
        <v>0</v>
      </c>
      <c r="K200" s="52">
        <v>71.428569999999993</v>
      </c>
      <c r="L200" s="114">
        <v>15.35</v>
      </c>
      <c r="M200" s="113">
        <v>26.99</v>
      </c>
      <c r="N200" s="52" t="str">
        <f t="shared" si="58"/>
        <v>14 (0.014 secs)</v>
      </c>
      <c r="O200" s="52" t="str">
        <f t="shared" si="58"/>
        <v>14 (0.014 secs)</v>
      </c>
      <c r="P200" s="52" t="str">
        <f t="shared" si="57"/>
        <v>14 (0.014 secs)</v>
      </c>
      <c r="Q200" s="52" t="str">
        <f t="shared" si="57"/>
        <v>14 (0.014 secs)</v>
      </c>
      <c r="R200" s="52" t="str">
        <f t="shared" si="57"/>
        <v>14 (0.014 secs)</v>
      </c>
      <c r="S200" s="52" t="str">
        <f t="shared" si="57"/>
        <v>14 (0.014 secs)</v>
      </c>
      <c r="T200" s="52" t="str">
        <f t="shared" si="57"/>
        <v>14 (0.014 secs)</v>
      </c>
      <c r="U200" s="115"/>
    </row>
    <row r="201" spans="1:21">
      <c r="A201" s="112" t="s">
        <v>40</v>
      </c>
      <c r="B201" s="113">
        <v>1</v>
      </c>
      <c r="C201" s="113">
        <v>12</v>
      </c>
      <c r="D201" s="113">
        <v>12</v>
      </c>
      <c r="E201" s="113">
        <v>12</v>
      </c>
      <c r="F201" s="113">
        <v>12</v>
      </c>
      <c r="G201" s="113">
        <v>12</v>
      </c>
      <c r="H201" s="113">
        <v>12</v>
      </c>
      <c r="I201" s="113">
        <v>12</v>
      </c>
      <c r="J201" s="69">
        <v>0</v>
      </c>
      <c r="K201" s="52">
        <v>83.333330000000004</v>
      </c>
      <c r="L201" s="114">
        <v>44.11</v>
      </c>
      <c r="M201" s="113">
        <v>30.03</v>
      </c>
      <c r="N201" s="52" t="str">
        <f t="shared" si="58"/>
        <v>12 (0.012 secs)</v>
      </c>
      <c r="O201" s="52" t="str">
        <f t="shared" si="58"/>
        <v>12 (0.012 secs)</v>
      </c>
      <c r="P201" s="52" t="str">
        <f t="shared" si="57"/>
        <v>12 (0.012 secs)</v>
      </c>
      <c r="Q201" s="52" t="str">
        <f t="shared" si="57"/>
        <v>12 (0.012 secs)</v>
      </c>
      <c r="R201" s="52" t="str">
        <f t="shared" si="57"/>
        <v>12 (0.012 secs)</v>
      </c>
      <c r="S201" s="52" t="str">
        <f t="shared" si="57"/>
        <v>12 (0.012 secs)</v>
      </c>
      <c r="T201" s="52" t="str">
        <f t="shared" si="57"/>
        <v>12 (0.012 secs)</v>
      </c>
      <c r="U201" s="115"/>
    </row>
    <row r="202" spans="1:21" ht="15" thickBot="1">
      <c r="A202" s="116" t="s">
        <v>128</v>
      </c>
      <c r="B202" s="117">
        <v>4</v>
      </c>
      <c r="C202" s="117">
        <v>2907</v>
      </c>
      <c r="D202" s="117">
        <v>14</v>
      </c>
      <c r="E202" s="117">
        <v>11581</v>
      </c>
      <c r="F202" s="117">
        <v>11581</v>
      </c>
      <c r="G202" s="117">
        <v>11581</v>
      </c>
      <c r="H202" s="117">
        <v>12</v>
      </c>
      <c r="I202" s="117">
        <v>11581</v>
      </c>
      <c r="J202" s="79">
        <v>0</v>
      </c>
      <c r="K202" s="53">
        <v>0.34039999999999998</v>
      </c>
      <c r="L202" s="118">
        <v>0.59</v>
      </c>
      <c r="M202" s="117">
        <v>0.13</v>
      </c>
      <c r="N202" s="57" t="str">
        <f t="shared" si="58"/>
        <v>2907 (2.907 secs)</v>
      </c>
      <c r="O202" s="53" t="str">
        <f t="shared" si="58"/>
        <v>14 (0.014 secs)</v>
      </c>
      <c r="P202" s="53" t="str">
        <f t="shared" si="57"/>
        <v>11581 (11.581 secs)</v>
      </c>
      <c r="Q202" s="53" t="str">
        <f t="shared" si="57"/>
        <v>11581 (11.581 secs)</v>
      </c>
      <c r="R202" s="53" t="str">
        <f t="shared" si="57"/>
        <v>11581 (11.581 secs)</v>
      </c>
      <c r="S202" s="53" t="str">
        <f t="shared" si="57"/>
        <v>12 (0.012 secs)</v>
      </c>
      <c r="T202" s="53" t="str">
        <f t="shared" si="57"/>
        <v>11581 (11.581 secs)</v>
      </c>
      <c r="U202" s="119"/>
    </row>
    <row r="204" spans="1:21">
      <c r="A204" s="101" t="s">
        <v>93</v>
      </c>
      <c r="B204" s="102" t="s">
        <v>94</v>
      </c>
      <c r="C204" s="105"/>
      <c r="D204" s="105"/>
      <c r="E204" s="105"/>
      <c r="F204" s="105"/>
      <c r="G204" s="105"/>
      <c r="H204" s="105"/>
      <c r="I204" s="105"/>
      <c r="J204" s="105"/>
      <c r="K204" s="105"/>
      <c r="N204" s="121"/>
      <c r="O204" s="86"/>
      <c r="P204" s="86"/>
      <c r="Q204" s="86"/>
      <c r="R204" s="86"/>
      <c r="S204" s="86"/>
      <c r="T204" s="130"/>
    </row>
    <row r="205" spans="1:21">
      <c r="A205" s="134" t="s">
        <v>13</v>
      </c>
      <c r="B205" s="107" t="s">
        <v>185</v>
      </c>
      <c r="C205" s="104"/>
      <c r="D205" s="104"/>
      <c r="E205" s="105"/>
      <c r="F205" s="105"/>
      <c r="G205" s="105"/>
      <c r="H205" s="105"/>
      <c r="I205" s="105"/>
      <c r="J205" s="105"/>
      <c r="K205" s="105"/>
      <c r="N205" s="121"/>
      <c r="O205" s="86"/>
      <c r="P205" s="86"/>
      <c r="Q205" s="86"/>
      <c r="R205" s="86"/>
      <c r="S205" s="86"/>
      <c r="T205" s="130"/>
    </row>
    <row r="206" spans="1:21">
      <c r="A206" s="135"/>
      <c r="B206" s="129"/>
      <c r="D206" s="86"/>
      <c r="N206" s="121"/>
      <c r="O206" s="86"/>
      <c r="P206" s="86"/>
      <c r="Q206" s="86"/>
      <c r="R206" s="86"/>
      <c r="S206" s="86"/>
      <c r="T206" s="130"/>
    </row>
    <row r="207" spans="1:21">
      <c r="A207" s="108" t="s">
        <v>114</v>
      </c>
      <c r="B207" s="109" t="s">
        <v>115</v>
      </c>
      <c r="C207" s="109" t="s">
        <v>116</v>
      </c>
      <c r="D207" s="109" t="s">
        <v>117</v>
      </c>
      <c r="E207" s="109" t="s">
        <v>118</v>
      </c>
      <c r="F207" s="109" t="s">
        <v>119</v>
      </c>
      <c r="G207" s="109" t="s">
        <v>120</v>
      </c>
      <c r="H207" s="109" t="s">
        <v>121</v>
      </c>
      <c r="I207" s="109" t="s">
        <v>122</v>
      </c>
      <c r="J207" s="109" t="s">
        <v>123</v>
      </c>
      <c r="K207" s="109" t="s">
        <v>143</v>
      </c>
      <c r="L207" s="109" t="s">
        <v>125</v>
      </c>
      <c r="M207" s="109" t="s">
        <v>126</v>
      </c>
      <c r="N207" s="109" t="s">
        <v>116</v>
      </c>
      <c r="O207" s="109" t="s">
        <v>117</v>
      </c>
      <c r="P207" s="109" t="s">
        <v>118</v>
      </c>
      <c r="Q207" s="109" t="s">
        <v>119</v>
      </c>
      <c r="R207" s="109" t="s">
        <v>120</v>
      </c>
      <c r="S207" s="109" t="s">
        <v>121</v>
      </c>
      <c r="T207" s="109" t="s">
        <v>122</v>
      </c>
      <c r="U207" s="110" t="s">
        <v>127</v>
      </c>
    </row>
    <row r="208" spans="1:21">
      <c r="A208" s="112" t="s">
        <v>33</v>
      </c>
      <c r="B208" s="113">
        <v>1</v>
      </c>
      <c r="C208" s="113">
        <v>77851</v>
      </c>
      <c r="D208" s="113">
        <v>77851</v>
      </c>
      <c r="E208" s="113">
        <v>77851</v>
      </c>
      <c r="F208" s="113">
        <v>77851</v>
      </c>
      <c r="G208" s="113">
        <v>77851</v>
      </c>
      <c r="H208" s="113">
        <v>77851</v>
      </c>
      <c r="I208" s="113">
        <v>77851</v>
      </c>
      <c r="J208" s="69">
        <v>0</v>
      </c>
      <c r="K208" s="52">
        <v>1.285E-2</v>
      </c>
      <c r="L208" s="114">
        <v>0</v>
      </c>
      <c r="M208" s="113">
        <v>0.01</v>
      </c>
      <c r="N208" s="50" t="str">
        <f>C208&amp;" ("&amp;TEXT(C208/1000,"0.000")&amp;" secs)"</f>
        <v>77851 (77.851 secs)</v>
      </c>
      <c r="O208" s="52" t="str">
        <f>D208&amp;" ("&amp;TEXT(D208/1000,"0.000")&amp;" secs)"</f>
        <v>77851 (77.851 secs)</v>
      </c>
      <c r="P208" s="52" t="str">
        <f t="shared" ref="P208:T212" si="59">E208&amp;" ("&amp;TEXT(E208/1000,"0.000")&amp;" secs)"</f>
        <v>77851 (77.851 secs)</v>
      </c>
      <c r="Q208" s="52" t="str">
        <f t="shared" si="59"/>
        <v>77851 (77.851 secs)</v>
      </c>
      <c r="R208" s="52" t="str">
        <f t="shared" si="59"/>
        <v>77851 (77.851 secs)</v>
      </c>
      <c r="S208" s="52" t="str">
        <f t="shared" si="59"/>
        <v>77851 (77.851 secs)</v>
      </c>
      <c r="T208" s="52" t="str">
        <f t="shared" si="59"/>
        <v>77851 (77.851 secs)</v>
      </c>
      <c r="U208" s="115" t="s">
        <v>157</v>
      </c>
    </row>
    <row r="209" spans="1:21">
      <c r="A209" s="112" t="s">
        <v>38</v>
      </c>
      <c r="B209" s="113">
        <v>1</v>
      </c>
      <c r="C209" s="113">
        <v>30</v>
      </c>
      <c r="D209" s="113">
        <v>30</v>
      </c>
      <c r="E209" s="113">
        <v>30</v>
      </c>
      <c r="F209" s="113">
        <v>30</v>
      </c>
      <c r="G209" s="113">
        <v>30</v>
      </c>
      <c r="H209" s="113">
        <v>30</v>
      </c>
      <c r="I209" s="113">
        <v>30</v>
      </c>
      <c r="J209" s="69">
        <v>0</v>
      </c>
      <c r="K209" s="52">
        <v>33.333329999999997</v>
      </c>
      <c r="L209" s="114">
        <v>211.46</v>
      </c>
      <c r="M209" s="113">
        <v>11.2</v>
      </c>
      <c r="N209" s="52" t="str">
        <f t="shared" ref="N209:O212" si="60">C209&amp;" ("&amp;TEXT(C209/1000,"0.000")&amp;" secs)"</f>
        <v>30 (0.030 secs)</v>
      </c>
      <c r="O209" s="52" t="str">
        <f t="shared" si="60"/>
        <v>30 (0.030 secs)</v>
      </c>
      <c r="P209" s="52" t="str">
        <f t="shared" si="59"/>
        <v>30 (0.030 secs)</v>
      </c>
      <c r="Q209" s="52" t="str">
        <f t="shared" si="59"/>
        <v>30 (0.030 secs)</v>
      </c>
      <c r="R209" s="52" t="str">
        <f t="shared" si="59"/>
        <v>30 (0.030 secs)</v>
      </c>
      <c r="S209" s="52" t="str">
        <f t="shared" si="59"/>
        <v>30 (0.030 secs)</v>
      </c>
      <c r="T209" s="52" t="str">
        <f t="shared" si="59"/>
        <v>30 (0.030 secs)</v>
      </c>
      <c r="U209" s="115"/>
    </row>
    <row r="210" spans="1:21">
      <c r="A210" s="112" t="s">
        <v>39</v>
      </c>
      <c r="B210" s="113">
        <v>1</v>
      </c>
      <c r="C210" s="113">
        <v>16</v>
      </c>
      <c r="D210" s="113">
        <v>16</v>
      </c>
      <c r="E210" s="113">
        <v>16</v>
      </c>
      <c r="F210" s="113">
        <v>16</v>
      </c>
      <c r="G210" s="113">
        <v>16</v>
      </c>
      <c r="H210" s="113">
        <v>16</v>
      </c>
      <c r="I210" s="113">
        <v>16</v>
      </c>
      <c r="J210" s="69">
        <v>0</v>
      </c>
      <c r="K210" s="52">
        <v>62.5</v>
      </c>
      <c r="L210" s="114">
        <v>384.52</v>
      </c>
      <c r="M210" s="113">
        <v>23.62</v>
      </c>
      <c r="N210" s="52" t="str">
        <f t="shared" si="60"/>
        <v>16 (0.016 secs)</v>
      </c>
      <c r="O210" s="52" t="str">
        <f t="shared" si="60"/>
        <v>16 (0.016 secs)</v>
      </c>
      <c r="P210" s="52" t="str">
        <f t="shared" si="59"/>
        <v>16 (0.016 secs)</v>
      </c>
      <c r="Q210" s="52" t="str">
        <f t="shared" si="59"/>
        <v>16 (0.016 secs)</v>
      </c>
      <c r="R210" s="52" t="str">
        <f t="shared" si="59"/>
        <v>16 (0.016 secs)</v>
      </c>
      <c r="S210" s="52" t="str">
        <f t="shared" si="59"/>
        <v>16 (0.016 secs)</v>
      </c>
      <c r="T210" s="52" t="str">
        <f t="shared" si="59"/>
        <v>16 (0.016 secs)</v>
      </c>
      <c r="U210" s="115"/>
    </row>
    <row r="211" spans="1:21">
      <c r="A211" s="112" t="s">
        <v>40</v>
      </c>
      <c r="B211" s="113">
        <v>1</v>
      </c>
      <c r="C211" s="113">
        <v>14</v>
      </c>
      <c r="D211" s="113">
        <v>14</v>
      </c>
      <c r="E211" s="113">
        <v>14</v>
      </c>
      <c r="F211" s="113">
        <v>14</v>
      </c>
      <c r="G211" s="113">
        <v>14</v>
      </c>
      <c r="H211" s="113">
        <v>14</v>
      </c>
      <c r="I211" s="113">
        <v>14</v>
      </c>
      <c r="J211" s="69">
        <v>0</v>
      </c>
      <c r="K211" s="52">
        <v>71.428569999999993</v>
      </c>
      <c r="L211" s="114">
        <v>47.15</v>
      </c>
      <c r="M211" s="113">
        <v>25.88</v>
      </c>
      <c r="N211" s="52" t="str">
        <f t="shared" si="60"/>
        <v>14 (0.014 secs)</v>
      </c>
      <c r="O211" s="52" t="str">
        <f t="shared" si="60"/>
        <v>14 (0.014 secs)</v>
      </c>
      <c r="P211" s="52" t="str">
        <f t="shared" si="59"/>
        <v>14 (0.014 secs)</v>
      </c>
      <c r="Q211" s="52" t="str">
        <f t="shared" si="59"/>
        <v>14 (0.014 secs)</v>
      </c>
      <c r="R211" s="52" t="str">
        <f t="shared" si="59"/>
        <v>14 (0.014 secs)</v>
      </c>
      <c r="S211" s="52" t="str">
        <f t="shared" si="59"/>
        <v>14 (0.014 secs)</v>
      </c>
      <c r="T211" s="52" t="str">
        <f t="shared" si="59"/>
        <v>14 (0.014 secs)</v>
      </c>
      <c r="U211" s="115"/>
    </row>
    <row r="212" spans="1:21" ht="15" thickBot="1">
      <c r="A212" s="116" t="s">
        <v>128</v>
      </c>
      <c r="B212" s="117">
        <v>4</v>
      </c>
      <c r="C212" s="117">
        <v>19477</v>
      </c>
      <c r="D212" s="117">
        <v>16</v>
      </c>
      <c r="E212" s="117">
        <v>77851</v>
      </c>
      <c r="F212" s="117">
        <v>77851</v>
      </c>
      <c r="G212" s="117">
        <v>77851</v>
      </c>
      <c r="H212" s="117">
        <v>14</v>
      </c>
      <c r="I212" s="117">
        <v>77851</v>
      </c>
      <c r="J212" s="79">
        <v>0</v>
      </c>
      <c r="K212" s="53">
        <v>5.126E-2</v>
      </c>
      <c r="L212" s="118">
        <v>0.17</v>
      </c>
      <c r="M212" s="117">
        <v>0.02</v>
      </c>
      <c r="N212" s="57" t="str">
        <f t="shared" si="60"/>
        <v>19477 (19.477 secs)</v>
      </c>
      <c r="O212" s="53" t="str">
        <f t="shared" si="60"/>
        <v>16 (0.016 secs)</v>
      </c>
      <c r="P212" s="53" t="str">
        <f t="shared" si="59"/>
        <v>77851 (77.851 secs)</v>
      </c>
      <c r="Q212" s="53" t="str">
        <f t="shared" si="59"/>
        <v>77851 (77.851 secs)</v>
      </c>
      <c r="R212" s="53" t="str">
        <f t="shared" si="59"/>
        <v>77851 (77.851 secs)</v>
      </c>
      <c r="S212" s="53" t="str">
        <f t="shared" si="59"/>
        <v>14 (0.014 secs)</v>
      </c>
      <c r="T212" s="53" t="str">
        <f t="shared" si="59"/>
        <v>77851 (77.851 secs)</v>
      </c>
      <c r="U212" s="119"/>
    </row>
    <row r="214" spans="1:21">
      <c r="A214" s="101" t="s">
        <v>96</v>
      </c>
      <c r="B214" s="102" t="s">
        <v>186</v>
      </c>
      <c r="C214" s="105"/>
      <c r="D214" s="105"/>
      <c r="E214" s="105"/>
      <c r="F214" s="105"/>
      <c r="G214" s="105"/>
      <c r="H214" s="105"/>
      <c r="I214" s="105"/>
      <c r="J214" s="105"/>
      <c r="K214" s="105"/>
      <c r="N214" s="121"/>
      <c r="O214" s="86"/>
      <c r="P214" s="86"/>
      <c r="Q214" s="86"/>
      <c r="R214" s="86"/>
      <c r="S214" s="86"/>
      <c r="T214" s="130"/>
    </row>
    <row r="215" spans="1:21">
      <c r="A215" s="134" t="s">
        <v>13</v>
      </c>
      <c r="B215" s="136" t="s">
        <v>187</v>
      </c>
      <c r="C215" s="104"/>
      <c r="D215" s="104"/>
      <c r="E215" s="105"/>
      <c r="F215" s="105"/>
      <c r="G215" s="105"/>
      <c r="H215" s="105"/>
      <c r="I215" s="105"/>
      <c r="J215" s="105"/>
      <c r="K215" s="105"/>
      <c r="N215" s="121"/>
      <c r="O215" s="86"/>
      <c r="P215" s="86"/>
      <c r="Q215" s="86"/>
      <c r="R215" s="86"/>
      <c r="S215" s="86"/>
      <c r="T215" s="130"/>
    </row>
    <row r="216" spans="1:21">
      <c r="A216" s="135"/>
      <c r="B216" s="129"/>
      <c r="D216" s="86"/>
      <c r="N216" s="121"/>
      <c r="O216" s="86"/>
      <c r="P216" s="86"/>
      <c r="Q216" s="86"/>
      <c r="R216" s="86"/>
      <c r="S216" s="86"/>
      <c r="T216" s="130"/>
    </row>
    <row r="217" spans="1:21">
      <c r="A217" s="108" t="s">
        <v>114</v>
      </c>
      <c r="B217" s="109" t="s">
        <v>115</v>
      </c>
      <c r="C217" s="109" t="s">
        <v>116</v>
      </c>
      <c r="D217" s="109" t="s">
        <v>117</v>
      </c>
      <c r="E217" s="109" t="s">
        <v>118</v>
      </c>
      <c r="F217" s="109" t="s">
        <v>119</v>
      </c>
      <c r="G217" s="109" t="s">
        <v>120</v>
      </c>
      <c r="H217" s="109" t="s">
        <v>121</v>
      </c>
      <c r="I217" s="109" t="s">
        <v>122</v>
      </c>
      <c r="J217" s="109" t="s">
        <v>123</v>
      </c>
      <c r="K217" s="109" t="s">
        <v>143</v>
      </c>
      <c r="L217" s="109" t="s">
        <v>125</v>
      </c>
      <c r="M217" s="109" t="s">
        <v>126</v>
      </c>
      <c r="N217" s="109" t="s">
        <v>116</v>
      </c>
      <c r="O217" s="109" t="s">
        <v>117</v>
      </c>
      <c r="P217" s="109" t="s">
        <v>118</v>
      </c>
      <c r="Q217" s="109" t="s">
        <v>119</v>
      </c>
      <c r="R217" s="109" t="s">
        <v>120</v>
      </c>
      <c r="S217" s="109" t="s">
        <v>121</v>
      </c>
      <c r="T217" s="109" t="s">
        <v>122</v>
      </c>
      <c r="U217" s="110" t="s">
        <v>127</v>
      </c>
    </row>
    <row r="218" spans="1:21">
      <c r="A218" s="112" t="s">
        <v>33</v>
      </c>
      <c r="B218" s="113">
        <v>2</v>
      </c>
      <c r="C218" s="113">
        <v>22089</v>
      </c>
      <c r="D218" s="113">
        <v>18754</v>
      </c>
      <c r="E218" s="113">
        <v>25424</v>
      </c>
      <c r="F218" s="113">
        <v>25424</v>
      </c>
      <c r="G218" s="113">
        <v>25424</v>
      </c>
      <c r="H218" s="113">
        <v>18754</v>
      </c>
      <c r="I218" s="113">
        <v>25424</v>
      </c>
      <c r="J218" s="69">
        <v>0</v>
      </c>
      <c r="K218" s="52">
        <v>7.8659999999999994E-2</v>
      </c>
      <c r="L218" s="114">
        <v>0.02</v>
      </c>
      <c r="M218" s="113">
        <v>0.04</v>
      </c>
      <c r="N218" s="52" t="str">
        <f>C218&amp;" ("&amp;TEXT(C218/1000,"0.000")&amp;" secs)"</f>
        <v>22089 (22.089 secs)</v>
      </c>
      <c r="O218" s="52" t="str">
        <f>D218&amp;" ("&amp;TEXT(D218/1000,"0.000")&amp;" secs)"</f>
        <v>18754 (18.754 secs)</v>
      </c>
      <c r="P218" s="52" t="str">
        <f t="shared" ref="P218:T222" si="61">E218&amp;" ("&amp;TEXT(E218/1000,"0.000")&amp;" secs)"</f>
        <v>25424 (25.424 secs)</v>
      </c>
      <c r="Q218" s="52" t="str">
        <f t="shared" si="61"/>
        <v>25424 (25.424 secs)</v>
      </c>
      <c r="R218" s="52" t="str">
        <f t="shared" si="61"/>
        <v>25424 (25.424 secs)</v>
      </c>
      <c r="S218" s="52" t="str">
        <f t="shared" si="61"/>
        <v>18754 (18.754 secs)</v>
      </c>
      <c r="T218" s="52" t="str">
        <f t="shared" si="61"/>
        <v>25424 (25.424 secs)</v>
      </c>
      <c r="U218" s="115" t="s">
        <v>157</v>
      </c>
    </row>
    <row r="219" spans="1:21">
      <c r="A219" s="112" t="s">
        <v>38</v>
      </c>
      <c r="B219" s="113">
        <v>2</v>
      </c>
      <c r="C219" s="113">
        <v>47</v>
      </c>
      <c r="D219" s="113">
        <v>37</v>
      </c>
      <c r="E219" s="113">
        <v>58</v>
      </c>
      <c r="F219" s="113">
        <v>58</v>
      </c>
      <c r="G219" s="113">
        <v>58</v>
      </c>
      <c r="H219" s="113">
        <v>37</v>
      </c>
      <c r="I219" s="113">
        <v>58</v>
      </c>
      <c r="J219" s="69">
        <v>0</v>
      </c>
      <c r="K219" s="52">
        <v>34.482759999999999</v>
      </c>
      <c r="L219" s="114">
        <v>271.08</v>
      </c>
      <c r="M219" s="113">
        <v>11.58</v>
      </c>
      <c r="N219" s="52" t="str">
        <f t="shared" ref="N219:O222" si="62">C219&amp;" ("&amp;TEXT(C219/1000,"0.000")&amp;" secs)"</f>
        <v>47 (0.047 secs)</v>
      </c>
      <c r="O219" s="52" t="str">
        <f t="shared" si="62"/>
        <v>37 (0.037 secs)</v>
      </c>
      <c r="P219" s="52" t="str">
        <f t="shared" si="61"/>
        <v>58 (0.058 secs)</v>
      </c>
      <c r="Q219" s="52" t="str">
        <f t="shared" si="61"/>
        <v>58 (0.058 secs)</v>
      </c>
      <c r="R219" s="52" t="str">
        <f t="shared" si="61"/>
        <v>58 (0.058 secs)</v>
      </c>
      <c r="S219" s="52" t="str">
        <f t="shared" si="61"/>
        <v>37 (0.037 secs)</v>
      </c>
      <c r="T219" s="52" t="str">
        <f t="shared" si="61"/>
        <v>58 (0.058 secs)</v>
      </c>
      <c r="U219" s="115"/>
    </row>
    <row r="220" spans="1:21">
      <c r="A220" s="112" t="s">
        <v>39</v>
      </c>
      <c r="B220" s="113">
        <v>2</v>
      </c>
      <c r="C220" s="113">
        <v>23</v>
      </c>
      <c r="D220" s="113">
        <v>18</v>
      </c>
      <c r="E220" s="113">
        <v>28</v>
      </c>
      <c r="F220" s="113">
        <v>28</v>
      </c>
      <c r="G220" s="113">
        <v>28</v>
      </c>
      <c r="H220" s="113">
        <v>18</v>
      </c>
      <c r="I220" s="113">
        <v>28</v>
      </c>
      <c r="J220" s="69">
        <v>0</v>
      </c>
      <c r="K220" s="52">
        <v>71.428569999999993</v>
      </c>
      <c r="L220" s="114">
        <v>20.02</v>
      </c>
      <c r="M220" s="113">
        <v>26.93</v>
      </c>
      <c r="N220" s="52" t="str">
        <f t="shared" si="62"/>
        <v>23 (0.023 secs)</v>
      </c>
      <c r="O220" s="52" t="str">
        <f t="shared" si="62"/>
        <v>18 (0.018 secs)</v>
      </c>
      <c r="P220" s="52" t="str">
        <f t="shared" si="61"/>
        <v>28 (0.028 secs)</v>
      </c>
      <c r="Q220" s="52" t="str">
        <f t="shared" si="61"/>
        <v>28 (0.028 secs)</v>
      </c>
      <c r="R220" s="52" t="str">
        <f t="shared" si="61"/>
        <v>28 (0.028 secs)</v>
      </c>
      <c r="S220" s="52" t="str">
        <f t="shared" si="61"/>
        <v>18 (0.018 secs)</v>
      </c>
      <c r="T220" s="52" t="str">
        <f t="shared" si="61"/>
        <v>28 (0.028 secs)</v>
      </c>
      <c r="U220" s="115"/>
    </row>
    <row r="221" spans="1:21">
      <c r="A221" s="112" t="s">
        <v>40</v>
      </c>
      <c r="B221" s="113">
        <v>2</v>
      </c>
      <c r="C221" s="113">
        <v>20</v>
      </c>
      <c r="D221" s="113">
        <v>15</v>
      </c>
      <c r="E221" s="113">
        <v>25</v>
      </c>
      <c r="F221" s="113">
        <v>25</v>
      </c>
      <c r="G221" s="113">
        <v>25</v>
      </c>
      <c r="H221" s="113">
        <v>15</v>
      </c>
      <c r="I221" s="113">
        <v>25</v>
      </c>
      <c r="J221" s="69">
        <v>0</v>
      </c>
      <c r="K221" s="52">
        <v>80</v>
      </c>
      <c r="L221" s="114">
        <v>22.81</v>
      </c>
      <c r="M221" s="113">
        <v>28.91</v>
      </c>
      <c r="N221" s="52" t="str">
        <f t="shared" si="62"/>
        <v>20 (0.020 secs)</v>
      </c>
      <c r="O221" s="52" t="str">
        <f t="shared" si="62"/>
        <v>15 (0.015 secs)</v>
      </c>
      <c r="P221" s="52" t="str">
        <f t="shared" si="61"/>
        <v>25 (0.025 secs)</v>
      </c>
      <c r="Q221" s="52" t="str">
        <f t="shared" si="61"/>
        <v>25 (0.025 secs)</v>
      </c>
      <c r="R221" s="52" t="str">
        <f t="shared" si="61"/>
        <v>25 (0.025 secs)</v>
      </c>
      <c r="S221" s="52" t="str">
        <f t="shared" si="61"/>
        <v>15 (0.015 secs)</v>
      </c>
      <c r="T221" s="52" t="str">
        <f t="shared" si="61"/>
        <v>25 (0.025 secs)</v>
      </c>
      <c r="U221" s="115"/>
    </row>
    <row r="222" spans="1:21">
      <c r="A222" s="112" t="s">
        <v>128</v>
      </c>
      <c r="B222" s="113">
        <v>8</v>
      </c>
      <c r="C222" s="113">
        <v>5544</v>
      </c>
      <c r="D222" s="113">
        <v>28</v>
      </c>
      <c r="E222" s="113">
        <v>18754</v>
      </c>
      <c r="F222" s="113">
        <v>25424</v>
      </c>
      <c r="G222" s="113">
        <v>25424</v>
      </c>
      <c r="H222" s="113">
        <v>15</v>
      </c>
      <c r="I222" s="113">
        <v>25424</v>
      </c>
      <c r="J222" s="69">
        <v>0</v>
      </c>
      <c r="K222" s="52">
        <v>0.31069999999999998</v>
      </c>
      <c r="L222" s="114">
        <v>0.67</v>
      </c>
      <c r="M222" s="113">
        <v>0.12</v>
      </c>
      <c r="N222" s="52" t="str">
        <f t="shared" si="62"/>
        <v>5544 (5.544 secs)</v>
      </c>
      <c r="O222" s="52" t="str">
        <f t="shared" si="62"/>
        <v>28 (0.028 secs)</v>
      </c>
      <c r="P222" s="52" t="str">
        <f t="shared" si="61"/>
        <v>18754 (18.754 secs)</v>
      </c>
      <c r="Q222" s="52" t="str">
        <f t="shared" si="61"/>
        <v>25424 (25.424 secs)</v>
      </c>
      <c r="R222" s="52" t="str">
        <f t="shared" si="61"/>
        <v>25424 (25.424 secs)</v>
      </c>
      <c r="S222" s="52" t="str">
        <f t="shared" si="61"/>
        <v>15 (0.015 secs)</v>
      </c>
      <c r="T222" s="52" t="str">
        <f t="shared" si="61"/>
        <v>25424 (25.424 secs)</v>
      </c>
      <c r="U222" s="115"/>
    </row>
  </sheetData>
  <mergeCells count="1">
    <mergeCell ref="S1:T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EE2DA-4E78-4C9B-A62A-549DFFAED2B0}">
  <dimension ref="A1:R190"/>
  <sheetViews>
    <sheetView zoomScale="80" zoomScaleNormal="80" workbookViewId="0">
      <pane ySplit="6" topLeftCell="A63" activePane="bottomLeft" state="frozen"/>
      <selection pane="bottomLeft" activeCell="A7" sqref="A7:XFD7"/>
    </sheetView>
  </sheetViews>
  <sheetFormatPr defaultColWidth="8.85546875" defaultRowHeight="14.45"/>
  <cols>
    <col min="1" max="1" width="16.5703125" style="66" customWidth="1"/>
    <col min="2" max="2" width="11" style="10" customWidth="1"/>
    <col min="3" max="3" width="28.42578125" style="5" customWidth="1"/>
    <col min="4" max="4" width="16.42578125" style="10" customWidth="1"/>
    <col min="5" max="5" width="19" style="10" customWidth="1"/>
    <col min="6" max="6" width="27.5703125" style="10" customWidth="1"/>
    <col min="7" max="7" width="8.5703125" style="10" bestFit="1" customWidth="1"/>
    <col min="8" max="8" width="7.5703125" style="10" bestFit="1" customWidth="1"/>
    <col min="9" max="9" width="13.5703125" style="10" bestFit="1" customWidth="1"/>
    <col min="10" max="10" width="15.42578125" style="10" customWidth="1"/>
    <col min="11" max="11" width="9.140625" style="10" bestFit="1" customWidth="1"/>
    <col min="12" max="12" width="10.42578125" style="10" bestFit="1" customWidth="1"/>
    <col min="13" max="13" width="9.5703125" style="10" bestFit="1" customWidth="1"/>
    <col min="14" max="14" width="16.5703125" style="5" customWidth="1"/>
    <col min="15" max="15" width="7.42578125" style="10" bestFit="1" customWidth="1"/>
    <col min="16" max="16" width="8.42578125" style="10" bestFit="1" customWidth="1"/>
    <col min="17" max="17" width="7.85546875" style="10" bestFit="1" customWidth="1"/>
    <col min="18" max="18" width="26.5703125" style="10" customWidth="1"/>
    <col min="19" max="16384" width="8.85546875" style="5"/>
  </cols>
  <sheetData>
    <row r="1" spans="1:18" s="15" customFormat="1">
      <c r="A1" s="170" t="s">
        <v>0</v>
      </c>
      <c r="B1" s="170"/>
      <c r="C1" s="7" t="s">
        <v>1</v>
      </c>
      <c r="D1" s="9"/>
      <c r="E1" s="9"/>
      <c r="F1" s="9"/>
      <c r="G1" s="9"/>
      <c r="H1" s="9"/>
      <c r="I1" s="9"/>
      <c r="J1" s="9"/>
      <c r="K1" s="9"/>
      <c r="L1" s="9"/>
      <c r="M1" s="9"/>
      <c r="O1" s="9"/>
      <c r="P1" s="9"/>
      <c r="Q1" s="9"/>
      <c r="R1" s="9"/>
    </row>
    <row r="2" spans="1:18" s="15" customFormat="1" ht="12">
      <c r="A2" s="171" t="s">
        <v>2</v>
      </c>
      <c r="B2" s="171"/>
      <c r="C2" s="15" t="s">
        <v>3</v>
      </c>
      <c r="D2" s="9"/>
      <c r="E2" s="9"/>
      <c r="F2" s="9"/>
      <c r="G2" s="9"/>
      <c r="H2" s="9"/>
      <c r="I2" s="9"/>
      <c r="J2" s="9"/>
      <c r="K2" s="9"/>
      <c r="L2" s="9"/>
      <c r="M2" s="9"/>
      <c r="O2" s="9"/>
      <c r="P2" s="9"/>
      <c r="Q2" s="9"/>
      <c r="R2" s="9"/>
    </row>
    <row r="3" spans="1:18" s="15" customFormat="1" ht="12">
      <c r="A3" s="174"/>
      <c r="B3" s="174"/>
      <c r="C3" s="15" t="s">
        <v>4</v>
      </c>
      <c r="D3" s="9"/>
      <c r="E3" s="9"/>
      <c r="F3" s="9"/>
      <c r="G3" s="9"/>
      <c r="H3" s="9"/>
      <c r="I3" s="9"/>
      <c r="J3" s="9"/>
      <c r="K3" s="9"/>
      <c r="L3" s="9"/>
      <c r="M3" s="9"/>
      <c r="O3" s="9"/>
      <c r="P3" s="9"/>
      <c r="Q3" s="9"/>
      <c r="R3" s="9"/>
    </row>
    <row r="4" spans="1:18" s="15" customFormat="1" ht="12">
      <c r="A4" s="171" t="s">
        <v>5</v>
      </c>
      <c r="B4" s="171"/>
      <c r="C4" s="15" t="s">
        <v>188</v>
      </c>
      <c r="D4" s="9"/>
      <c r="E4" s="9"/>
      <c r="F4" s="9"/>
      <c r="G4" s="9"/>
      <c r="H4" s="9"/>
      <c r="I4" s="9"/>
      <c r="J4" s="9"/>
      <c r="K4" s="9"/>
      <c r="L4" s="9"/>
      <c r="M4" s="9"/>
      <c r="O4" s="9"/>
      <c r="P4" s="9"/>
      <c r="Q4" s="9"/>
      <c r="R4" s="9"/>
    </row>
    <row r="5" spans="1:18" s="15" customFormat="1" ht="12">
      <c r="A5" s="171" t="s">
        <v>7</v>
      </c>
      <c r="B5" s="171"/>
      <c r="C5" s="15" t="s">
        <v>161</v>
      </c>
      <c r="D5" s="9"/>
      <c r="E5" s="9"/>
      <c r="F5" s="9"/>
      <c r="G5" s="9"/>
      <c r="H5" s="9"/>
      <c r="I5" s="9"/>
      <c r="J5" s="9"/>
      <c r="K5" s="9"/>
      <c r="L5" s="9"/>
      <c r="M5" s="9"/>
      <c r="O5" s="9"/>
      <c r="P5" s="9"/>
      <c r="Q5" s="9"/>
      <c r="R5" s="9"/>
    </row>
    <row r="6" spans="1:18" s="15" customFormat="1" ht="12.6" thickBot="1">
      <c r="A6" s="172" t="s">
        <v>9</v>
      </c>
      <c r="B6" s="172"/>
      <c r="C6" s="17" t="s">
        <v>10</v>
      </c>
      <c r="D6" s="18"/>
      <c r="E6" s="18"/>
      <c r="F6" s="18"/>
      <c r="G6" s="18"/>
      <c r="H6" s="18"/>
      <c r="I6" s="18"/>
      <c r="J6" s="18"/>
      <c r="K6" s="18"/>
      <c r="L6" s="18"/>
      <c r="M6" s="18"/>
      <c r="N6" s="17"/>
      <c r="O6" s="18"/>
      <c r="P6" s="18"/>
      <c r="Q6" s="18"/>
      <c r="R6" s="18"/>
    </row>
    <row r="7" spans="1:18" s="15" customFormat="1" ht="12">
      <c r="A7" s="173"/>
      <c r="B7" s="173"/>
      <c r="D7" s="9"/>
      <c r="E7" s="9"/>
      <c r="F7" s="9"/>
      <c r="G7" s="9"/>
      <c r="H7" s="9"/>
      <c r="I7" s="9"/>
      <c r="J7" s="9"/>
      <c r="K7" s="9"/>
      <c r="L7" s="9"/>
      <c r="M7" s="9"/>
      <c r="O7" s="9"/>
      <c r="P7" s="9"/>
      <c r="Q7" s="9"/>
      <c r="R7" s="9"/>
    </row>
    <row r="8" spans="1:18" s="15" customFormat="1">
      <c r="A8" s="169" t="s">
        <v>11</v>
      </c>
      <c r="B8" s="169"/>
      <c r="C8" s="22" t="s">
        <v>12</v>
      </c>
      <c r="D8" s="24"/>
      <c r="E8" s="9"/>
      <c r="F8" s="9"/>
      <c r="G8" s="9"/>
      <c r="H8" s="9"/>
      <c r="I8" s="9"/>
      <c r="J8" s="9"/>
      <c r="K8" s="9"/>
      <c r="L8" s="9"/>
      <c r="M8" s="9"/>
      <c r="O8" s="9"/>
      <c r="P8" s="9"/>
      <c r="Q8" s="9"/>
      <c r="R8" s="9"/>
    </row>
    <row r="9" spans="1:18" s="15" customFormat="1" ht="12">
      <c r="A9" s="168" t="s">
        <v>13</v>
      </c>
      <c r="B9" s="168"/>
      <c r="C9" s="58" t="s">
        <v>162</v>
      </c>
      <c r="D9" s="24"/>
      <c r="E9" s="9"/>
      <c r="F9" s="9"/>
      <c r="G9" s="9"/>
      <c r="H9" s="9"/>
      <c r="I9" s="9"/>
      <c r="J9" s="9"/>
      <c r="K9" s="9"/>
      <c r="L9" s="9"/>
      <c r="M9" s="9"/>
      <c r="O9" s="9"/>
      <c r="P9" s="9"/>
      <c r="Q9" s="9"/>
      <c r="R9" s="9"/>
    </row>
    <row r="10" spans="1:18" s="15" customFormat="1" ht="12">
      <c r="A10" s="51"/>
      <c r="B10" s="51"/>
      <c r="D10" s="9"/>
      <c r="E10" s="9"/>
      <c r="F10" s="9"/>
      <c r="G10" s="9"/>
      <c r="H10" s="9"/>
      <c r="I10" s="9"/>
      <c r="J10" s="9"/>
      <c r="K10" s="9"/>
      <c r="L10" s="9"/>
      <c r="M10" s="9"/>
      <c r="O10" s="9"/>
      <c r="P10" s="9"/>
      <c r="Q10" s="9"/>
      <c r="R10" s="9"/>
    </row>
    <row r="11" spans="1:18" s="49" customFormat="1">
      <c r="A11" s="59" t="s">
        <v>15</v>
      </c>
      <c r="B11" s="31" t="s">
        <v>16</v>
      </c>
      <c r="C11" s="60" t="s">
        <v>17</v>
      </c>
      <c r="D11" s="31" t="s">
        <v>18</v>
      </c>
      <c r="E11" s="31" t="s">
        <v>19</v>
      </c>
      <c r="F11" s="31" t="s">
        <v>20</v>
      </c>
      <c r="G11" s="31" t="s">
        <v>21</v>
      </c>
      <c r="H11" s="31" t="s">
        <v>22</v>
      </c>
      <c r="I11" s="31" t="s">
        <v>23</v>
      </c>
      <c r="J11" s="31" t="s">
        <v>24</v>
      </c>
      <c r="K11" s="31" t="s">
        <v>25</v>
      </c>
      <c r="L11" s="31" t="s">
        <v>26</v>
      </c>
      <c r="M11" s="31" t="s">
        <v>27</v>
      </c>
      <c r="N11" s="31" t="s">
        <v>28</v>
      </c>
      <c r="O11" s="31" t="s">
        <v>29</v>
      </c>
      <c r="P11" s="31" t="s">
        <v>30</v>
      </c>
      <c r="Q11" s="31" t="s">
        <v>31</v>
      </c>
      <c r="R11" s="31" t="s">
        <v>32</v>
      </c>
    </row>
    <row r="12" spans="1:18">
      <c r="A12" s="61">
        <v>1778059663172</v>
      </c>
      <c r="B12" s="34">
        <v>344</v>
      </c>
      <c r="C12" s="6" t="s">
        <v>33</v>
      </c>
      <c r="D12" s="34">
        <v>200</v>
      </c>
      <c r="E12" s="34" t="s">
        <v>34</v>
      </c>
      <c r="F12" s="34" t="s">
        <v>35</v>
      </c>
      <c r="G12" s="34" t="s">
        <v>36</v>
      </c>
      <c r="H12" s="34" t="b">
        <v>1</v>
      </c>
      <c r="I12" s="34"/>
      <c r="J12" s="34">
        <v>207</v>
      </c>
      <c r="K12" s="34">
        <v>450</v>
      </c>
      <c r="L12" s="34">
        <v>1</v>
      </c>
      <c r="M12" s="34">
        <v>1</v>
      </c>
      <c r="N12" s="6" t="s">
        <v>37</v>
      </c>
      <c r="O12" s="34">
        <v>344</v>
      </c>
      <c r="P12" s="34">
        <v>0</v>
      </c>
      <c r="Q12" s="34">
        <v>5</v>
      </c>
      <c r="R12" s="61"/>
    </row>
    <row r="13" spans="1:18">
      <c r="A13" s="61">
        <v>1778059663519</v>
      </c>
      <c r="B13" s="34">
        <v>29</v>
      </c>
      <c r="C13" s="6" t="s">
        <v>38</v>
      </c>
      <c r="D13" s="34">
        <v>200</v>
      </c>
      <c r="E13" s="34" t="s">
        <v>34</v>
      </c>
      <c r="F13" s="34" t="s">
        <v>35</v>
      </c>
      <c r="G13" s="34" t="s">
        <v>36</v>
      </c>
      <c r="H13" s="34" t="b">
        <v>1</v>
      </c>
      <c r="I13" s="34"/>
      <c r="J13" s="34">
        <v>6864</v>
      </c>
      <c r="K13" s="34">
        <v>344</v>
      </c>
      <c r="L13" s="34">
        <v>1</v>
      </c>
      <c r="M13" s="34">
        <v>1</v>
      </c>
      <c r="N13" s="6" t="s">
        <v>37</v>
      </c>
      <c r="O13" s="34">
        <v>29</v>
      </c>
      <c r="P13" s="34">
        <v>0</v>
      </c>
      <c r="Q13" s="34">
        <v>0</v>
      </c>
      <c r="R13" s="61"/>
    </row>
    <row r="14" spans="1:18">
      <c r="A14" s="61">
        <v>1778059663700</v>
      </c>
      <c r="B14" s="34">
        <v>15</v>
      </c>
      <c r="C14" s="6" t="s">
        <v>39</v>
      </c>
      <c r="D14" s="34">
        <v>200</v>
      </c>
      <c r="E14" s="34" t="s">
        <v>34</v>
      </c>
      <c r="F14" s="34" t="s">
        <v>35</v>
      </c>
      <c r="G14" s="34" t="s">
        <v>36</v>
      </c>
      <c r="H14" s="34" t="b">
        <v>1</v>
      </c>
      <c r="I14" s="34"/>
      <c r="J14" s="34">
        <v>245</v>
      </c>
      <c r="K14" s="34">
        <v>386</v>
      </c>
      <c r="L14" s="34">
        <v>1</v>
      </c>
      <c r="M14" s="34">
        <v>1</v>
      </c>
      <c r="N14" s="6" t="s">
        <v>37</v>
      </c>
      <c r="O14" s="34">
        <v>15</v>
      </c>
      <c r="P14" s="34">
        <v>0</v>
      </c>
      <c r="Q14" s="34">
        <v>0</v>
      </c>
      <c r="R14" s="61"/>
    </row>
    <row r="15" spans="1:18" ht="15" thickBot="1">
      <c r="A15" s="62">
        <v>1778059663716</v>
      </c>
      <c r="B15" s="39">
        <v>13</v>
      </c>
      <c r="C15" s="63" t="s">
        <v>40</v>
      </c>
      <c r="D15" s="39">
        <v>200</v>
      </c>
      <c r="E15" s="39" t="s">
        <v>34</v>
      </c>
      <c r="F15" s="39" t="s">
        <v>35</v>
      </c>
      <c r="G15" s="39" t="s">
        <v>36</v>
      </c>
      <c r="H15" s="39" t="b">
        <v>1</v>
      </c>
      <c r="I15" s="39"/>
      <c r="J15" s="39">
        <v>385</v>
      </c>
      <c r="K15" s="39">
        <v>370</v>
      </c>
      <c r="L15" s="39">
        <v>1</v>
      </c>
      <c r="M15" s="39">
        <v>1</v>
      </c>
      <c r="N15" s="63" t="s">
        <v>37</v>
      </c>
      <c r="O15" s="39">
        <v>13</v>
      </c>
      <c r="P15" s="39">
        <v>0</v>
      </c>
      <c r="Q15" s="39">
        <v>0</v>
      </c>
      <c r="R15" s="62"/>
    </row>
    <row r="17" spans="1:18" s="15" customFormat="1">
      <c r="A17" s="169" t="s">
        <v>41</v>
      </c>
      <c r="B17" s="169"/>
      <c r="C17" s="22" t="s">
        <v>42</v>
      </c>
      <c r="D17" s="24"/>
      <c r="E17" s="9"/>
      <c r="F17" s="9"/>
      <c r="G17" s="9"/>
      <c r="H17" s="9"/>
      <c r="I17" s="9"/>
      <c r="J17" s="9"/>
      <c r="K17" s="9"/>
      <c r="L17" s="9"/>
      <c r="M17" s="9"/>
      <c r="O17" s="9"/>
      <c r="P17" s="9"/>
      <c r="Q17" s="9"/>
      <c r="R17" s="9"/>
    </row>
    <row r="18" spans="1:18" s="15" customFormat="1" ht="12">
      <c r="A18" s="168" t="s">
        <v>13</v>
      </c>
      <c r="B18" s="168"/>
      <c r="C18" s="58" t="s">
        <v>163</v>
      </c>
      <c r="D18" s="24"/>
      <c r="E18" s="9"/>
      <c r="F18" s="9"/>
      <c r="G18" s="9"/>
      <c r="H18" s="9"/>
      <c r="I18" s="9"/>
      <c r="J18" s="9"/>
      <c r="K18" s="9"/>
      <c r="L18" s="9"/>
      <c r="M18" s="9"/>
      <c r="O18" s="9"/>
      <c r="P18" s="9"/>
      <c r="Q18" s="9"/>
      <c r="R18" s="9"/>
    </row>
    <row r="19" spans="1:18" s="15" customFormat="1" ht="12">
      <c r="A19" s="51"/>
      <c r="B19" s="51"/>
      <c r="D19" s="9"/>
      <c r="E19" s="9"/>
      <c r="F19" s="9"/>
      <c r="G19" s="9"/>
      <c r="H19" s="9"/>
      <c r="I19" s="9"/>
      <c r="J19" s="9"/>
      <c r="K19" s="9"/>
      <c r="L19" s="9"/>
      <c r="M19" s="9"/>
      <c r="O19" s="9"/>
      <c r="P19" s="9"/>
      <c r="Q19" s="9"/>
      <c r="R19" s="9"/>
    </row>
    <row r="20" spans="1:18" s="49" customFormat="1">
      <c r="A20" s="59" t="s">
        <v>15</v>
      </c>
      <c r="B20" s="31" t="s">
        <v>16</v>
      </c>
      <c r="C20" s="60" t="s">
        <v>17</v>
      </c>
      <c r="D20" s="31" t="s">
        <v>18</v>
      </c>
      <c r="E20" s="31" t="s">
        <v>19</v>
      </c>
      <c r="F20" s="31" t="s">
        <v>20</v>
      </c>
      <c r="G20" s="31" t="s">
        <v>21</v>
      </c>
      <c r="H20" s="31" t="s">
        <v>22</v>
      </c>
      <c r="I20" s="31" t="s">
        <v>23</v>
      </c>
      <c r="J20" s="31" t="s">
        <v>24</v>
      </c>
      <c r="K20" s="31" t="s">
        <v>25</v>
      </c>
      <c r="L20" s="31" t="s">
        <v>26</v>
      </c>
      <c r="M20" s="31" t="s">
        <v>27</v>
      </c>
      <c r="N20" s="31" t="s">
        <v>28</v>
      </c>
      <c r="O20" s="31" t="s">
        <v>29</v>
      </c>
      <c r="P20" s="31" t="s">
        <v>30</v>
      </c>
      <c r="Q20" s="31" t="s">
        <v>31</v>
      </c>
      <c r="R20" s="31" t="s">
        <v>32</v>
      </c>
    </row>
    <row r="21" spans="1:18">
      <c r="A21" s="61">
        <v>1777971617104</v>
      </c>
      <c r="B21" s="34">
        <v>10878</v>
      </c>
      <c r="C21" s="6" t="s">
        <v>33</v>
      </c>
      <c r="D21" s="34">
        <v>200</v>
      </c>
      <c r="E21" s="34" t="s">
        <v>34</v>
      </c>
      <c r="F21" s="34" t="s">
        <v>35</v>
      </c>
      <c r="G21" s="34" t="s">
        <v>36</v>
      </c>
      <c r="H21" s="34" t="b">
        <v>1</v>
      </c>
      <c r="I21" s="34"/>
      <c r="J21" s="34">
        <v>206</v>
      </c>
      <c r="K21" s="34">
        <v>451</v>
      </c>
      <c r="L21" s="34">
        <v>1</v>
      </c>
      <c r="M21" s="34">
        <v>1</v>
      </c>
      <c r="N21" s="6" t="s">
        <v>37</v>
      </c>
      <c r="O21" s="34">
        <v>10878</v>
      </c>
      <c r="P21" s="34">
        <v>0</v>
      </c>
      <c r="Q21" s="34">
        <v>7</v>
      </c>
      <c r="R21" s="61"/>
    </row>
    <row r="22" spans="1:18">
      <c r="A22" s="61">
        <v>1777971627984</v>
      </c>
      <c r="B22" s="34">
        <v>18</v>
      </c>
      <c r="C22" s="6" t="s">
        <v>38</v>
      </c>
      <c r="D22" s="34">
        <v>200</v>
      </c>
      <c r="E22" s="34" t="s">
        <v>34</v>
      </c>
      <c r="F22" s="34" t="s">
        <v>35</v>
      </c>
      <c r="G22" s="34" t="s">
        <v>36</v>
      </c>
      <c r="H22" s="34" t="b">
        <v>1</v>
      </c>
      <c r="I22" s="34"/>
      <c r="J22" s="34">
        <v>981</v>
      </c>
      <c r="K22" s="34">
        <v>344</v>
      </c>
      <c r="L22" s="34">
        <v>1</v>
      </c>
      <c r="M22" s="34">
        <v>1</v>
      </c>
      <c r="N22" s="6" t="s">
        <v>37</v>
      </c>
      <c r="O22" s="34">
        <v>18</v>
      </c>
      <c r="P22" s="34">
        <v>0</v>
      </c>
      <c r="Q22" s="34">
        <v>0</v>
      </c>
      <c r="R22" s="61"/>
    </row>
    <row r="23" spans="1:18">
      <c r="A23" s="61">
        <v>1777971628112</v>
      </c>
      <c r="B23" s="34">
        <v>21</v>
      </c>
      <c r="C23" s="6" t="s">
        <v>39</v>
      </c>
      <c r="D23" s="34">
        <v>200</v>
      </c>
      <c r="E23" s="34" t="s">
        <v>34</v>
      </c>
      <c r="F23" s="34" t="s">
        <v>35</v>
      </c>
      <c r="G23" s="34" t="s">
        <v>36</v>
      </c>
      <c r="H23" s="34" t="b">
        <v>1</v>
      </c>
      <c r="I23" s="34"/>
      <c r="J23" s="34">
        <v>250</v>
      </c>
      <c r="K23" s="34">
        <v>386</v>
      </c>
      <c r="L23" s="34">
        <v>1</v>
      </c>
      <c r="M23" s="34">
        <v>1</v>
      </c>
      <c r="N23" s="6" t="s">
        <v>37</v>
      </c>
      <c r="O23" s="34">
        <v>20</v>
      </c>
      <c r="P23" s="34">
        <v>0</v>
      </c>
      <c r="Q23" s="34">
        <v>0</v>
      </c>
      <c r="R23" s="61"/>
    </row>
    <row r="24" spans="1:18" ht="15" thickBot="1">
      <c r="A24" s="62">
        <v>1777971628134</v>
      </c>
      <c r="B24" s="39">
        <v>14</v>
      </c>
      <c r="C24" s="63" t="s">
        <v>40</v>
      </c>
      <c r="D24" s="39">
        <v>200</v>
      </c>
      <c r="E24" s="39" t="s">
        <v>34</v>
      </c>
      <c r="F24" s="39" t="s">
        <v>35</v>
      </c>
      <c r="G24" s="39" t="s">
        <v>36</v>
      </c>
      <c r="H24" s="39" t="b">
        <v>1</v>
      </c>
      <c r="I24" s="39"/>
      <c r="J24" s="39">
        <v>559</v>
      </c>
      <c r="K24" s="39">
        <v>369</v>
      </c>
      <c r="L24" s="39">
        <v>1</v>
      </c>
      <c r="M24" s="39">
        <v>1</v>
      </c>
      <c r="N24" s="63" t="s">
        <v>37</v>
      </c>
      <c r="O24" s="39">
        <v>14</v>
      </c>
      <c r="P24" s="39">
        <v>0</v>
      </c>
      <c r="Q24" s="39">
        <v>0</v>
      </c>
      <c r="R24" s="62"/>
    </row>
    <row r="26" spans="1:18">
      <c r="A26" s="169" t="s">
        <v>43</v>
      </c>
      <c r="B26" s="169"/>
      <c r="C26" s="22" t="s">
        <v>44</v>
      </c>
      <c r="D26" s="24"/>
      <c r="E26" s="9"/>
      <c r="F26" s="9"/>
      <c r="G26" s="9"/>
      <c r="H26" s="9"/>
      <c r="I26" s="9"/>
      <c r="J26" s="9"/>
      <c r="K26" s="9"/>
      <c r="L26" s="9"/>
      <c r="M26" s="9"/>
      <c r="N26" s="15"/>
      <c r="O26" s="9"/>
      <c r="P26" s="9"/>
      <c r="Q26" s="9"/>
      <c r="R26" s="9"/>
    </row>
    <row r="27" spans="1:18">
      <c r="A27" s="168" t="s">
        <v>13</v>
      </c>
      <c r="B27" s="168"/>
      <c r="C27" s="58" t="s">
        <v>165</v>
      </c>
      <c r="D27" s="24"/>
      <c r="E27" s="9"/>
      <c r="F27" s="9"/>
      <c r="G27" s="9"/>
      <c r="H27" s="9"/>
      <c r="I27" s="9"/>
      <c r="J27" s="9"/>
      <c r="K27" s="9"/>
      <c r="L27" s="9"/>
      <c r="M27" s="9"/>
      <c r="N27" s="15"/>
      <c r="O27" s="9"/>
      <c r="P27" s="9"/>
      <c r="Q27" s="9"/>
      <c r="R27" s="9"/>
    </row>
    <row r="28" spans="1:18">
      <c r="A28" s="64"/>
      <c r="B28" s="64"/>
      <c r="D28" s="9"/>
      <c r="E28" s="9"/>
      <c r="F28" s="9"/>
      <c r="G28" s="9"/>
      <c r="H28" s="9"/>
      <c r="I28" s="9"/>
      <c r="J28" s="9"/>
      <c r="K28" s="9"/>
      <c r="L28" s="9"/>
      <c r="M28" s="9"/>
      <c r="N28" s="15"/>
      <c r="O28" s="9"/>
      <c r="P28" s="9"/>
      <c r="Q28" s="9"/>
      <c r="R28" s="9"/>
    </row>
    <row r="29" spans="1:18">
      <c r="A29" s="59" t="s">
        <v>15</v>
      </c>
      <c r="B29" s="31" t="s">
        <v>16</v>
      </c>
      <c r="C29" s="60" t="s">
        <v>17</v>
      </c>
      <c r="D29" s="31" t="s">
        <v>18</v>
      </c>
      <c r="E29" s="31" t="s">
        <v>19</v>
      </c>
      <c r="F29" s="31" t="s">
        <v>20</v>
      </c>
      <c r="G29" s="31" t="s">
        <v>21</v>
      </c>
      <c r="H29" s="31" t="s">
        <v>22</v>
      </c>
      <c r="I29" s="31" t="s">
        <v>23</v>
      </c>
      <c r="J29" s="31" t="s">
        <v>24</v>
      </c>
      <c r="K29" s="31" t="s">
        <v>25</v>
      </c>
      <c r="L29" s="31" t="s">
        <v>26</v>
      </c>
      <c r="M29" s="31" t="s">
        <v>27</v>
      </c>
      <c r="N29" s="31" t="s">
        <v>28</v>
      </c>
      <c r="O29" s="31" t="s">
        <v>29</v>
      </c>
      <c r="P29" s="31" t="s">
        <v>30</v>
      </c>
      <c r="Q29" s="31" t="s">
        <v>31</v>
      </c>
      <c r="R29" s="31" t="s">
        <v>32</v>
      </c>
    </row>
    <row r="30" spans="1:18">
      <c r="A30" s="61">
        <v>1777971997799</v>
      </c>
      <c r="B30" s="34">
        <v>525</v>
      </c>
      <c r="C30" s="6" t="s">
        <v>33</v>
      </c>
      <c r="D30" s="34">
        <v>200</v>
      </c>
      <c r="E30" s="34" t="s">
        <v>34</v>
      </c>
      <c r="F30" s="34" t="s">
        <v>35</v>
      </c>
      <c r="G30" s="34" t="s">
        <v>36</v>
      </c>
      <c r="H30" s="34" t="b">
        <v>1</v>
      </c>
      <c r="I30" s="34"/>
      <c r="J30" s="34">
        <v>206</v>
      </c>
      <c r="K30" s="34">
        <v>453</v>
      </c>
      <c r="L30" s="34">
        <v>1</v>
      </c>
      <c r="M30" s="34">
        <v>1</v>
      </c>
      <c r="N30" s="6" t="s">
        <v>37</v>
      </c>
      <c r="O30" s="34">
        <v>525</v>
      </c>
      <c r="P30" s="34">
        <v>0</v>
      </c>
      <c r="Q30" s="34">
        <v>5</v>
      </c>
      <c r="R30" s="61"/>
    </row>
    <row r="31" spans="1:18">
      <c r="A31" s="61">
        <v>1777971998325</v>
      </c>
      <c r="B31" s="34">
        <v>18</v>
      </c>
      <c r="C31" s="6" t="s">
        <v>38</v>
      </c>
      <c r="D31" s="34">
        <v>200</v>
      </c>
      <c r="E31" s="34" t="s">
        <v>34</v>
      </c>
      <c r="F31" s="34" t="s">
        <v>35</v>
      </c>
      <c r="G31" s="34" t="s">
        <v>36</v>
      </c>
      <c r="H31" s="34" t="b">
        <v>1</v>
      </c>
      <c r="I31" s="34"/>
      <c r="J31" s="34">
        <v>1355</v>
      </c>
      <c r="K31" s="34">
        <v>344</v>
      </c>
      <c r="L31" s="34">
        <v>1</v>
      </c>
      <c r="M31" s="34">
        <v>1</v>
      </c>
      <c r="N31" s="6" t="s">
        <v>37</v>
      </c>
      <c r="O31" s="34">
        <v>18</v>
      </c>
      <c r="P31" s="34">
        <v>0</v>
      </c>
      <c r="Q31" s="34">
        <v>0</v>
      </c>
      <c r="R31" s="61"/>
    </row>
    <row r="32" spans="1:18">
      <c r="A32" s="61">
        <v>1777971998446</v>
      </c>
      <c r="B32" s="34">
        <v>14</v>
      </c>
      <c r="C32" s="6" t="s">
        <v>39</v>
      </c>
      <c r="D32" s="34">
        <v>200</v>
      </c>
      <c r="E32" s="34" t="s">
        <v>34</v>
      </c>
      <c r="F32" s="34" t="s">
        <v>35</v>
      </c>
      <c r="G32" s="34" t="s">
        <v>36</v>
      </c>
      <c r="H32" s="34" t="b">
        <v>1</v>
      </c>
      <c r="I32" s="34"/>
      <c r="J32" s="34">
        <v>245</v>
      </c>
      <c r="K32" s="34">
        <v>386</v>
      </c>
      <c r="L32" s="34">
        <v>1</v>
      </c>
      <c r="M32" s="34">
        <v>1</v>
      </c>
      <c r="N32" s="6" t="s">
        <v>37</v>
      </c>
      <c r="O32" s="34">
        <v>14</v>
      </c>
      <c r="P32" s="34">
        <v>0</v>
      </c>
      <c r="Q32" s="34">
        <v>0</v>
      </c>
      <c r="R32" s="61"/>
    </row>
    <row r="33" spans="1:18">
      <c r="A33" s="61">
        <v>1777971998461</v>
      </c>
      <c r="B33" s="34">
        <v>16</v>
      </c>
      <c r="C33" s="6" t="s">
        <v>40</v>
      </c>
      <c r="D33" s="34">
        <v>200</v>
      </c>
      <c r="E33" s="34" t="s">
        <v>34</v>
      </c>
      <c r="F33" s="34" t="s">
        <v>35</v>
      </c>
      <c r="G33" s="34" t="s">
        <v>36</v>
      </c>
      <c r="H33" s="34" t="b">
        <v>1</v>
      </c>
      <c r="I33" s="34"/>
      <c r="J33" s="34">
        <v>410</v>
      </c>
      <c r="K33" s="34">
        <v>369</v>
      </c>
      <c r="L33" s="34">
        <v>1</v>
      </c>
      <c r="M33" s="34">
        <v>1</v>
      </c>
      <c r="N33" s="6" t="s">
        <v>37</v>
      </c>
      <c r="O33" s="34">
        <v>16</v>
      </c>
      <c r="P33" s="34">
        <v>0</v>
      </c>
      <c r="Q33" s="34">
        <v>0</v>
      </c>
      <c r="R33" s="61"/>
    </row>
    <row r="35" spans="1:18">
      <c r="A35" s="169" t="s">
        <v>46</v>
      </c>
      <c r="B35" s="169"/>
      <c r="C35" s="22" t="s">
        <v>47</v>
      </c>
      <c r="D35" s="24"/>
      <c r="E35" s="9"/>
      <c r="F35" s="9"/>
      <c r="G35" s="9"/>
      <c r="H35" s="9"/>
      <c r="I35" s="9"/>
      <c r="J35" s="9"/>
      <c r="K35" s="9"/>
      <c r="L35" s="9"/>
      <c r="M35" s="9"/>
      <c r="N35" s="15"/>
      <c r="O35" s="9"/>
      <c r="P35" s="9"/>
      <c r="Q35" s="9"/>
      <c r="R35" s="9"/>
    </row>
    <row r="36" spans="1:18">
      <c r="A36" s="168" t="s">
        <v>13</v>
      </c>
      <c r="B36" s="168"/>
      <c r="C36" s="58" t="s">
        <v>166</v>
      </c>
      <c r="D36" s="24"/>
      <c r="E36" s="9"/>
      <c r="F36" s="9"/>
      <c r="G36" s="9"/>
      <c r="H36" s="9"/>
      <c r="I36" s="9"/>
      <c r="J36" s="9"/>
      <c r="K36" s="9"/>
      <c r="L36" s="9"/>
      <c r="M36" s="9"/>
      <c r="N36" s="15"/>
      <c r="O36" s="9"/>
      <c r="P36" s="9"/>
      <c r="Q36" s="9"/>
      <c r="R36" s="9"/>
    </row>
    <row r="37" spans="1:18">
      <c r="A37" s="64"/>
      <c r="B37" s="64"/>
      <c r="D37" s="9"/>
      <c r="E37" s="9"/>
      <c r="F37" s="9"/>
      <c r="G37" s="9"/>
      <c r="H37" s="9"/>
      <c r="I37" s="9"/>
      <c r="J37" s="9"/>
      <c r="K37" s="9"/>
      <c r="L37" s="9"/>
      <c r="M37" s="9"/>
      <c r="N37" s="15"/>
      <c r="O37" s="9"/>
      <c r="P37" s="9"/>
      <c r="Q37" s="9"/>
      <c r="R37" s="9"/>
    </row>
    <row r="38" spans="1:18">
      <c r="A38" s="59" t="s">
        <v>15</v>
      </c>
      <c r="B38" s="31" t="s">
        <v>16</v>
      </c>
      <c r="C38" s="60" t="s">
        <v>17</v>
      </c>
      <c r="D38" s="31" t="s">
        <v>18</v>
      </c>
      <c r="E38" s="31" t="s">
        <v>19</v>
      </c>
      <c r="F38" s="31" t="s">
        <v>20</v>
      </c>
      <c r="G38" s="31" t="s">
        <v>21</v>
      </c>
      <c r="H38" s="31" t="s">
        <v>22</v>
      </c>
      <c r="I38" s="31" t="s">
        <v>23</v>
      </c>
      <c r="J38" s="31" t="s">
        <v>24</v>
      </c>
      <c r="K38" s="31" t="s">
        <v>25</v>
      </c>
      <c r="L38" s="31" t="s">
        <v>26</v>
      </c>
      <c r="M38" s="31" t="s">
        <v>27</v>
      </c>
      <c r="N38" s="31" t="s">
        <v>28</v>
      </c>
      <c r="O38" s="31" t="s">
        <v>29</v>
      </c>
      <c r="P38" s="31" t="s">
        <v>30</v>
      </c>
      <c r="Q38" s="31" t="s">
        <v>31</v>
      </c>
      <c r="R38" s="31" t="s">
        <v>32</v>
      </c>
    </row>
    <row r="39" spans="1:18">
      <c r="A39" s="61">
        <v>1777972246870</v>
      </c>
      <c r="B39" s="34">
        <v>386</v>
      </c>
      <c r="C39" s="6" t="s">
        <v>33</v>
      </c>
      <c r="D39" s="34">
        <v>200</v>
      </c>
      <c r="E39" s="34" t="s">
        <v>34</v>
      </c>
      <c r="F39" s="34" t="s">
        <v>35</v>
      </c>
      <c r="G39" s="34" t="s">
        <v>36</v>
      </c>
      <c r="H39" s="34" t="b">
        <v>1</v>
      </c>
      <c r="I39" s="34"/>
      <c r="J39" s="34">
        <v>206</v>
      </c>
      <c r="K39" s="34">
        <v>453</v>
      </c>
      <c r="L39" s="34">
        <v>1</v>
      </c>
      <c r="M39" s="34">
        <v>1</v>
      </c>
      <c r="N39" s="6" t="s">
        <v>37</v>
      </c>
      <c r="O39" s="34">
        <v>386</v>
      </c>
      <c r="P39" s="34">
        <v>0</v>
      </c>
      <c r="Q39" s="34">
        <v>3</v>
      </c>
      <c r="R39" s="61"/>
    </row>
    <row r="40" spans="1:18">
      <c r="A40" s="61">
        <v>1777972247259</v>
      </c>
      <c r="B40" s="34">
        <v>21</v>
      </c>
      <c r="C40" s="6" t="s">
        <v>38</v>
      </c>
      <c r="D40" s="34">
        <v>200</v>
      </c>
      <c r="E40" s="34" t="s">
        <v>34</v>
      </c>
      <c r="F40" s="34" t="s">
        <v>35</v>
      </c>
      <c r="G40" s="34" t="s">
        <v>36</v>
      </c>
      <c r="H40" s="34" t="b">
        <v>1</v>
      </c>
      <c r="I40" s="34"/>
      <c r="J40" s="34">
        <v>1729</v>
      </c>
      <c r="K40" s="34">
        <v>344</v>
      </c>
      <c r="L40" s="34">
        <v>1</v>
      </c>
      <c r="M40" s="34">
        <v>1</v>
      </c>
      <c r="N40" s="6" t="s">
        <v>37</v>
      </c>
      <c r="O40" s="34">
        <v>21</v>
      </c>
      <c r="P40" s="34">
        <v>0</v>
      </c>
      <c r="Q40" s="34">
        <v>0</v>
      </c>
      <c r="R40" s="61"/>
    </row>
    <row r="41" spans="1:18">
      <c r="A41" s="61">
        <v>1777972247381</v>
      </c>
      <c r="B41" s="34">
        <v>15</v>
      </c>
      <c r="C41" s="6" t="s">
        <v>39</v>
      </c>
      <c r="D41" s="34">
        <v>200</v>
      </c>
      <c r="E41" s="34" t="s">
        <v>34</v>
      </c>
      <c r="F41" s="34" t="s">
        <v>35</v>
      </c>
      <c r="G41" s="34" t="s">
        <v>36</v>
      </c>
      <c r="H41" s="34" t="b">
        <v>1</v>
      </c>
      <c r="I41" s="34"/>
      <c r="J41" s="34">
        <v>263</v>
      </c>
      <c r="K41" s="34">
        <v>386</v>
      </c>
      <c r="L41" s="34">
        <v>1</v>
      </c>
      <c r="M41" s="34">
        <v>1</v>
      </c>
      <c r="N41" s="6" t="s">
        <v>37</v>
      </c>
      <c r="O41" s="34">
        <v>15</v>
      </c>
      <c r="P41" s="34">
        <v>0</v>
      </c>
      <c r="Q41" s="34">
        <v>0</v>
      </c>
      <c r="R41" s="61"/>
    </row>
    <row r="42" spans="1:18" ht="15" thickBot="1">
      <c r="A42" s="62">
        <v>1777972247397</v>
      </c>
      <c r="B42" s="39">
        <v>10</v>
      </c>
      <c r="C42" s="63" t="s">
        <v>40</v>
      </c>
      <c r="D42" s="39">
        <v>200</v>
      </c>
      <c r="E42" s="39" t="s">
        <v>34</v>
      </c>
      <c r="F42" s="39" t="s">
        <v>35</v>
      </c>
      <c r="G42" s="39" t="s">
        <v>36</v>
      </c>
      <c r="H42" s="39" t="b">
        <v>1</v>
      </c>
      <c r="I42" s="39"/>
      <c r="J42" s="39">
        <v>319</v>
      </c>
      <c r="K42" s="39">
        <v>370</v>
      </c>
      <c r="L42" s="39">
        <v>1</v>
      </c>
      <c r="M42" s="39">
        <v>1</v>
      </c>
      <c r="N42" s="63" t="s">
        <v>37</v>
      </c>
      <c r="O42" s="39">
        <v>10</v>
      </c>
      <c r="P42" s="39">
        <v>0</v>
      </c>
      <c r="Q42" s="39">
        <v>0</v>
      </c>
      <c r="R42" s="62"/>
    </row>
    <row r="44" spans="1:18">
      <c r="A44" s="169" t="s">
        <v>49</v>
      </c>
      <c r="B44" s="169"/>
      <c r="C44" s="22" t="s">
        <v>50</v>
      </c>
      <c r="D44" s="24"/>
      <c r="E44" s="9"/>
      <c r="F44" s="9"/>
      <c r="G44" s="9"/>
      <c r="H44" s="9"/>
      <c r="I44" s="9"/>
      <c r="J44" s="9"/>
      <c r="K44" s="9"/>
      <c r="L44" s="9"/>
      <c r="M44" s="9"/>
      <c r="N44" s="15"/>
      <c r="O44" s="9"/>
      <c r="P44" s="9"/>
      <c r="Q44" s="9"/>
      <c r="R44" s="9"/>
    </row>
    <row r="45" spans="1:18">
      <c r="A45" s="168" t="s">
        <v>13</v>
      </c>
      <c r="B45" s="168"/>
      <c r="C45" s="58" t="s">
        <v>167</v>
      </c>
      <c r="D45" s="24"/>
      <c r="E45" s="9"/>
      <c r="F45" s="9"/>
      <c r="G45" s="9"/>
      <c r="H45" s="9"/>
      <c r="I45" s="9"/>
      <c r="J45" s="9"/>
      <c r="K45" s="9"/>
      <c r="L45" s="9"/>
      <c r="M45" s="9"/>
      <c r="N45" s="15"/>
      <c r="O45" s="9"/>
      <c r="P45" s="9"/>
      <c r="Q45" s="9"/>
      <c r="R45" s="9"/>
    </row>
    <row r="46" spans="1:18">
      <c r="A46" s="64"/>
      <c r="B46" s="64"/>
      <c r="D46" s="9"/>
      <c r="E46" s="9"/>
      <c r="F46" s="9"/>
      <c r="G46" s="9"/>
      <c r="H46" s="9"/>
      <c r="I46" s="9"/>
      <c r="J46" s="9"/>
      <c r="K46" s="9"/>
      <c r="L46" s="9"/>
      <c r="M46" s="9"/>
      <c r="N46" s="15"/>
      <c r="O46" s="9"/>
      <c r="P46" s="9"/>
      <c r="Q46" s="9"/>
      <c r="R46" s="9"/>
    </row>
    <row r="47" spans="1:18">
      <c r="A47" s="59" t="s">
        <v>15</v>
      </c>
      <c r="B47" s="31" t="s">
        <v>16</v>
      </c>
      <c r="C47" s="60" t="s">
        <v>17</v>
      </c>
      <c r="D47" s="31" t="s">
        <v>18</v>
      </c>
      <c r="E47" s="31" t="s">
        <v>19</v>
      </c>
      <c r="F47" s="31" t="s">
        <v>20</v>
      </c>
      <c r="G47" s="31" t="s">
        <v>21</v>
      </c>
      <c r="H47" s="31" t="s">
        <v>22</v>
      </c>
      <c r="I47" s="31" t="s">
        <v>23</v>
      </c>
      <c r="J47" s="31" t="s">
        <v>24</v>
      </c>
      <c r="K47" s="31" t="s">
        <v>25</v>
      </c>
      <c r="L47" s="31" t="s">
        <v>26</v>
      </c>
      <c r="M47" s="31" t="s">
        <v>27</v>
      </c>
      <c r="N47" s="31" t="s">
        <v>28</v>
      </c>
      <c r="O47" s="31" t="s">
        <v>29</v>
      </c>
      <c r="P47" s="31" t="s">
        <v>30</v>
      </c>
      <c r="Q47" s="31" t="s">
        <v>31</v>
      </c>
      <c r="R47" s="31" t="s">
        <v>32</v>
      </c>
    </row>
    <row r="48" spans="1:18">
      <c r="A48" s="61">
        <v>1777972497996</v>
      </c>
      <c r="B48" s="34">
        <v>8276</v>
      </c>
      <c r="C48" s="6" t="s">
        <v>33</v>
      </c>
      <c r="D48" s="34">
        <v>200</v>
      </c>
      <c r="E48" s="34" t="s">
        <v>34</v>
      </c>
      <c r="F48" s="34" t="s">
        <v>35</v>
      </c>
      <c r="G48" s="34" t="s">
        <v>36</v>
      </c>
      <c r="H48" s="34" t="b">
        <v>1</v>
      </c>
      <c r="I48" s="34"/>
      <c r="J48" s="34">
        <v>206</v>
      </c>
      <c r="K48" s="34">
        <v>457</v>
      </c>
      <c r="L48" s="34">
        <v>1</v>
      </c>
      <c r="M48" s="34">
        <v>1</v>
      </c>
      <c r="N48" s="6" t="s">
        <v>37</v>
      </c>
      <c r="O48" s="34">
        <v>8276</v>
      </c>
      <c r="P48" s="34">
        <v>0</v>
      </c>
      <c r="Q48" s="34">
        <v>7</v>
      </c>
      <c r="R48" s="61"/>
    </row>
    <row r="49" spans="1:18">
      <c r="A49" s="61">
        <v>1777972506279</v>
      </c>
      <c r="B49" s="34">
        <v>20</v>
      </c>
      <c r="C49" s="6" t="s">
        <v>38</v>
      </c>
      <c r="D49" s="34">
        <v>200</v>
      </c>
      <c r="E49" s="34" t="s">
        <v>34</v>
      </c>
      <c r="F49" s="34" t="s">
        <v>35</v>
      </c>
      <c r="G49" s="34" t="s">
        <v>36</v>
      </c>
      <c r="H49" s="34" t="b">
        <v>1</v>
      </c>
      <c r="I49" s="34"/>
      <c r="J49" s="34">
        <v>2112</v>
      </c>
      <c r="K49" s="34">
        <v>344</v>
      </c>
      <c r="L49" s="34">
        <v>1</v>
      </c>
      <c r="M49" s="34">
        <v>1</v>
      </c>
      <c r="N49" s="6" t="s">
        <v>37</v>
      </c>
      <c r="O49" s="34">
        <v>20</v>
      </c>
      <c r="P49" s="34">
        <v>0</v>
      </c>
      <c r="Q49" s="34">
        <v>0</v>
      </c>
      <c r="R49" s="61"/>
    </row>
    <row r="50" spans="1:18">
      <c r="A50" s="61">
        <v>1777972506488</v>
      </c>
      <c r="B50" s="34">
        <v>16</v>
      </c>
      <c r="C50" s="6" t="s">
        <v>39</v>
      </c>
      <c r="D50" s="34">
        <v>200</v>
      </c>
      <c r="E50" s="34" t="s">
        <v>34</v>
      </c>
      <c r="F50" s="34" t="s">
        <v>35</v>
      </c>
      <c r="G50" s="34" t="s">
        <v>36</v>
      </c>
      <c r="H50" s="34" t="b">
        <v>1</v>
      </c>
      <c r="I50" s="34"/>
      <c r="J50" s="34">
        <v>287</v>
      </c>
      <c r="K50" s="34">
        <v>386</v>
      </c>
      <c r="L50" s="34">
        <v>1</v>
      </c>
      <c r="M50" s="34">
        <v>1</v>
      </c>
      <c r="N50" s="6" t="s">
        <v>37</v>
      </c>
      <c r="O50" s="34">
        <v>16</v>
      </c>
      <c r="P50" s="34">
        <v>0</v>
      </c>
      <c r="Q50" s="34">
        <v>0</v>
      </c>
      <c r="R50" s="61"/>
    </row>
    <row r="51" spans="1:18" ht="15" thickBot="1">
      <c r="A51" s="62">
        <v>1777972506505</v>
      </c>
      <c r="B51" s="39">
        <v>11</v>
      </c>
      <c r="C51" s="63" t="s">
        <v>40</v>
      </c>
      <c r="D51" s="39">
        <v>200</v>
      </c>
      <c r="E51" s="39" t="s">
        <v>34</v>
      </c>
      <c r="F51" s="39" t="s">
        <v>35</v>
      </c>
      <c r="G51" s="39" t="s">
        <v>36</v>
      </c>
      <c r="H51" s="39" t="b">
        <v>1</v>
      </c>
      <c r="I51" s="39"/>
      <c r="J51" s="39">
        <v>292</v>
      </c>
      <c r="K51" s="39">
        <v>370</v>
      </c>
      <c r="L51" s="39">
        <v>1</v>
      </c>
      <c r="M51" s="39">
        <v>1</v>
      </c>
      <c r="N51" s="63" t="s">
        <v>37</v>
      </c>
      <c r="O51" s="39">
        <v>11</v>
      </c>
      <c r="P51" s="39">
        <v>0</v>
      </c>
      <c r="Q51" s="39">
        <v>0</v>
      </c>
      <c r="R51" s="62"/>
    </row>
    <row r="53" spans="1:18">
      <c r="A53" s="169" t="s">
        <v>52</v>
      </c>
      <c r="B53" s="169"/>
      <c r="C53" s="22" t="s">
        <v>53</v>
      </c>
      <c r="D53" s="24"/>
      <c r="E53" s="9"/>
      <c r="F53" s="9"/>
      <c r="G53" s="9"/>
      <c r="H53" s="9"/>
      <c r="I53" s="9"/>
      <c r="J53" s="9"/>
      <c r="K53" s="9"/>
      <c r="L53" s="9"/>
      <c r="M53" s="9"/>
      <c r="N53" s="15"/>
      <c r="O53" s="9"/>
      <c r="P53" s="9"/>
      <c r="Q53" s="9"/>
      <c r="R53" s="9"/>
    </row>
    <row r="54" spans="1:18">
      <c r="A54" s="168" t="s">
        <v>13</v>
      </c>
      <c r="B54" s="168"/>
      <c r="C54" s="58" t="s">
        <v>169</v>
      </c>
      <c r="D54" s="24"/>
      <c r="E54" s="9"/>
      <c r="F54" s="9"/>
      <c r="G54" s="9"/>
      <c r="H54" s="9"/>
      <c r="I54" s="9"/>
      <c r="J54" s="9"/>
      <c r="K54" s="9"/>
      <c r="L54" s="9"/>
      <c r="M54" s="9"/>
      <c r="N54" s="15"/>
      <c r="O54" s="9"/>
      <c r="P54" s="9"/>
      <c r="Q54" s="9"/>
      <c r="R54" s="9"/>
    </row>
    <row r="55" spans="1:18">
      <c r="A55" s="64"/>
      <c r="B55" s="64"/>
      <c r="D55" s="9"/>
      <c r="E55" s="9"/>
      <c r="F55" s="9"/>
      <c r="G55" s="9"/>
      <c r="H55" s="9"/>
      <c r="I55" s="9"/>
      <c r="J55" s="9"/>
      <c r="K55" s="9"/>
      <c r="L55" s="9"/>
      <c r="M55" s="9"/>
      <c r="N55" s="15"/>
      <c r="O55" s="9"/>
      <c r="P55" s="9"/>
      <c r="Q55" s="9"/>
      <c r="R55" s="9"/>
    </row>
    <row r="56" spans="1:18">
      <c r="A56" s="59" t="s">
        <v>15</v>
      </c>
      <c r="B56" s="31" t="s">
        <v>16</v>
      </c>
      <c r="C56" s="60" t="s">
        <v>17</v>
      </c>
      <c r="D56" s="31" t="s">
        <v>18</v>
      </c>
      <c r="E56" s="31" t="s">
        <v>19</v>
      </c>
      <c r="F56" s="31" t="s">
        <v>20</v>
      </c>
      <c r="G56" s="31" t="s">
        <v>21</v>
      </c>
      <c r="H56" s="31" t="s">
        <v>22</v>
      </c>
      <c r="I56" s="31" t="s">
        <v>23</v>
      </c>
      <c r="J56" s="31" t="s">
        <v>24</v>
      </c>
      <c r="K56" s="31" t="s">
        <v>25</v>
      </c>
      <c r="L56" s="31" t="s">
        <v>26</v>
      </c>
      <c r="M56" s="31" t="s">
        <v>27</v>
      </c>
      <c r="N56" s="31" t="s">
        <v>28</v>
      </c>
      <c r="O56" s="31" t="s">
        <v>29</v>
      </c>
      <c r="P56" s="31" t="s">
        <v>30</v>
      </c>
      <c r="Q56" s="31" t="s">
        <v>31</v>
      </c>
      <c r="R56" s="31" t="s">
        <v>32</v>
      </c>
    </row>
    <row r="57" spans="1:18">
      <c r="A57" s="61">
        <v>1777972743552</v>
      </c>
      <c r="B57" s="34">
        <v>54862</v>
      </c>
      <c r="C57" s="6" t="s">
        <v>33</v>
      </c>
      <c r="D57" s="34">
        <v>200</v>
      </c>
      <c r="E57" s="34" t="s">
        <v>34</v>
      </c>
      <c r="F57" s="34" t="s">
        <v>35</v>
      </c>
      <c r="G57" s="34" t="s">
        <v>36</v>
      </c>
      <c r="H57" s="34" t="b">
        <v>1</v>
      </c>
      <c r="I57" s="34"/>
      <c r="J57" s="34">
        <v>206</v>
      </c>
      <c r="K57" s="34">
        <v>458</v>
      </c>
      <c r="L57" s="34">
        <v>1</v>
      </c>
      <c r="M57" s="34">
        <v>1</v>
      </c>
      <c r="N57" s="6" t="s">
        <v>37</v>
      </c>
      <c r="O57" s="34">
        <v>54862</v>
      </c>
      <c r="P57" s="34">
        <v>0</v>
      </c>
      <c r="Q57" s="34">
        <v>3</v>
      </c>
      <c r="R57" s="61"/>
    </row>
    <row r="58" spans="1:18">
      <c r="A58" s="61">
        <v>1777972798417</v>
      </c>
      <c r="B58" s="34">
        <v>29</v>
      </c>
      <c r="C58" s="6" t="s">
        <v>38</v>
      </c>
      <c r="D58" s="34">
        <v>200</v>
      </c>
      <c r="E58" s="34" t="s">
        <v>34</v>
      </c>
      <c r="F58" s="34" t="s">
        <v>35</v>
      </c>
      <c r="G58" s="34" t="s">
        <v>36</v>
      </c>
      <c r="H58" s="34" t="b">
        <v>1</v>
      </c>
      <c r="I58" s="34"/>
      <c r="J58" s="34">
        <v>2498</v>
      </c>
      <c r="K58" s="34">
        <v>344</v>
      </c>
      <c r="L58" s="34">
        <v>1</v>
      </c>
      <c r="M58" s="34">
        <v>1</v>
      </c>
      <c r="N58" s="6" t="s">
        <v>37</v>
      </c>
      <c r="O58" s="34">
        <v>29</v>
      </c>
      <c r="P58" s="34">
        <v>0</v>
      </c>
      <c r="Q58" s="34">
        <v>0</v>
      </c>
      <c r="R58" s="61"/>
    </row>
    <row r="59" spans="1:18">
      <c r="A59" s="61">
        <v>1777972798555</v>
      </c>
      <c r="B59" s="34">
        <v>16</v>
      </c>
      <c r="C59" s="6" t="s">
        <v>39</v>
      </c>
      <c r="D59" s="34">
        <v>200</v>
      </c>
      <c r="E59" s="34" t="s">
        <v>34</v>
      </c>
      <c r="F59" s="34" t="s">
        <v>35</v>
      </c>
      <c r="G59" s="34" t="s">
        <v>36</v>
      </c>
      <c r="H59" s="34" t="b">
        <v>1</v>
      </c>
      <c r="I59" s="34"/>
      <c r="J59" s="34">
        <v>598</v>
      </c>
      <c r="K59" s="34">
        <v>386</v>
      </c>
      <c r="L59" s="34">
        <v>1</v>
      </c>
      <c r="M59" s="34">
        <v>1</v>
      </c>
      <c r="N59" s="6" t="s">
        <v>37</v>
      </c>
      <c r="O59" s="34">
        <v>16</v>
      </c>
      <c r="P59" s="34">
        <v>0</v>
      </c>
      <c r="Q59" s="34">
        <v>0</v>
      </c>
      <c r="R59" s="61"/>
    </row>
    <row r="60" spans="1:18" ht="15" thickBot="1">
      <c r="A60" s="62">
        <v>1777972798572</v>
      </c>
      <c r="B60" s="39">
        <v>12</v>
      </c>
      <c r="C60" s="63" t="s">
        <v>40</v>
      </c>
      <c r="D60" s="39">
        <v>200</v>
      </c>
      <c r="E60" s="39" t="s">
        <v>34</v>
      </c>
      <c r="F60" s="39" t="s">
        <v>35</v>
      </c>
      <c r="G60" s="39" t="s">
        <v>36</v>
      </c>
      <c r="H60" s="39" t="b">
        <v>1</v>
      </c>
      <c r="I60" s="39"/>
      <c r="J60" s="39">
        <v>518</v>
      </c>
      <c r="K60" s="39">
        <v>370</v>
      </c>
      <c r="L60" s="39">
        <v>1</v>
      </c>
      <c r="M60" s="39">
        <v>1</v>
      </c>
      <c r="N60" s="63" t="s">
        <v>37</v>
      </c>
      <c r="O60" s="39">
        <v>12</v>
      </c>
      <c r="P60" s="39">
        <v>0</v>
      </c>
      <c r="Q60" s="39">
        <v>0</v>
      </c>
      <c r="R60" s="62"/>
    </row>
    <row r="62" spans="1:18">
      <c r="A62" s="169" t="s">
        <v>55</v>
      </c>
      <c r="B62" s="169"/>
      <c r="C62" s="22" t="s">
        <v>56</v>
      </c>
      <c r="D62" s="24"/>
      <c r="E62" s="9"/>
      <c r="F62" s="9"/>
      <c r="G62" s="9"/>
      <c r="H62" s="9"/>
      <c r="I62" s="9"/>
      <c r="J62" s="9"/>
      <c r="K62" s="9"/>
      <c r="L62" s="9"/>
      <c r="M62" s="9"/>
      <c r="N62" s="15"/>
      <c r="O62" s="9"/>
      <c r="P62" s="9"/>
      <c r="Q62" s="9"/>
      <c r="R62" s="9"/>
    </row>
    <row r="63" spans="1:18">
      <c r="A63" s="168" t="s">
        <v>13</v>
      </c>
      <c r="B63" s="168"/>
      <c r="C63" s="58" t="s">
        <v>170</v>
      </c>
      <c r="D63" s="24"/>
      <c r="E63" s="9"/>
      <c r="F63" s="9"/>
      <c r="G63" s="9"/>
      <c r="H63" s="9"/>
      <c r="I63" s="9"/>
      <c r="J63" s="9"/>
      <c r="K63" s="9"/>
      <c r="L63" s="9"/>
      <c r="M63" s="9"/>
      <c r="N63" s="15"/>
      <c r="O63" s="9"/>
      <c r="P63" s="9"/>
      <c r="Q63" s="9"/>
      <c r="R63" s="9"/>
    </row>
    <row r="64" spans="1:18">
      <c r="A64" s="64"/>
      <c r="B64" s="64"/>
      <c r="D64" s="9"/>
      <c r="E64" s="9"/>
      <c r="F64" s="9"/>
      <c r="G64" s="9"/>
      <c r="H64" s="9"/>
      <c r="I64" s="9"/>
      <c r="J64" s="9"/>
      <c r="K64" s="9"/>
      <c r="L64" s="9"/>
      <c r="M64" s="9"/>
      <c r="N64" s="15"/>
      <c r="O64" s="9"/>
      <c r="P64" s="9"/>
      <c r="Q64" s="9"/>
      <c r="R64" s="9"/>
    </row>
    <row r="65" spans="1:18">
      <c r="A65" s="59" t="s">
        <v>15</v>
      </c>
      <c r="B65" s="31" t="s">
        <v>16</v>
      </c>
      <c r="C65" s="60" t="s">
        <v>17</v>
      </c>
      <c r="D65" s="31" t="s">
        <v>18</v>
      </c>
      <c r="E65" s="31" t="s">
        <v>19</v>
      </c>
      <c r="F65" s="31" t="s">
        <v>20</v>
      </c>
      <c r="G65" s="31" t="s">
        <v>21</v>
      </c>
      <c r="H65" s="31" t="s">
        <v>22</v>
      </c>
      <c r="I65" s="31" t="s">
        <v>23</v>
      </c>
      <c r="J65" s="31" t="s">
        <v>24</v>
      </c>
      <c r="K65" s="31" t="s">
        <v>25</v>
      </c>
      <c r="L65" s="31" t="s">
        <v>26</v>
      </c>
      <c r="M65" s="31" t="s">
        <v>27</v>
      </c>
      <c r="N65" s="31" t="s">
        <v>28</v>
      </c>
      <c r="O65" s="31" t="s">
        <v>29</v>
      </c>
      <c r="P65" s="31" t="s">
        <v>30</v>
      </c>
      <c r="Q65" s="31" t="s">
        <v>31</v>
      </c>
      <c r="R65" s="31" t="s">
        <v>32</v>
      </c>
    </row>
    <row r="66" spans="1:18" ht="15" customHeight="1">
      <c r="A66" s="61">
        <v>1777973177612</v>
      </c>
      <c r="B66" s="34">
        <v>3244612</v>
      </c>
      <c r="C66" s="6" t="s">
        <v>33</v>
      </c>
      <c r="D66" s="34">
        <v>200</v>
      </c>
      <c r="E66" s="34" t="s">
        <v>34</v>
      </c>
      <c r="F66" s="34" t="s">
        <v>35</v>
      </c>
      <c r="G66" s="34" t="s">
        <v>36</v>
      </c>
      <c r="H66" s="34" t="b">
        <v>1</v>
      </c>
      <c r="I66" s="34"/>
      <c r="J66" s="34">
        <v>206</v>
      </c>
      <c r="K66" s="34">
        <v>460</v>
      </c>
      <c r="L66" s="34">
        <v>1</v>
      </c>
      <c r="M66" s="34">
        <v>1</v>
      </c>
      <c r="N66" s="6" t="s">
        <v>37</v>
      </c>
      <c r="O66" s="34">
        <v>3244612</v>
      </c>
      <c r="P66" s="34">
        <v>0</v>
      </c>
      <c r="Q66" s="34">
        <v>5</v>
      </c>
      <c r="R66" s="61"/>
    </row>
    <row r="67" spans="1:18">
      <c r="A67" s="61">
        <v>1777976422227</v>
      </c>
      <c r="B67" s="34">
        <v>26</v>
      </c>
      <c r="C67" s="6" t="s">
        <v>38</v>
      </c>
      <c r="D67" s="34">
        <v>200</v>
      </c>
      <c r="E67" s="34" t="s">
        <v>34</v>
      </c>
      <c r="F67" s="34" t="s">
        <v>35</v>
      </c>
      <c r="G67" s="34" t="s">
        <v>36</v>
      </c>
      <c r="H67" s="34" t="b">
        <v>1</v>
      </c>
      <c r="I67" s="34"/>
      <c r="J67" s="34">
        <v>2888</v>
      </c>
      <c r="K67" s="34">
        <v>344</v>
      </c>
      <c r="L67" s="34">
        <v>1</v>
      </c>
      <c r="M67" s="34">
        <v>1</v>
      </c>
      <c r="N67" s="6" t="s">
        <v>37</v>
      </c>
      <c r="O67" s="34">
        <v>26</v>
      </c>
      <c r="P67" s="34">
        <v>0</v>
      </c>
      <c r="Q67" s="34">
        <v>4</v>
      </c>
      <c r="R67" s="61"/>
    </row>
    <row r="68" spans="1:18">
      <c r="A68" s="61">
        <v>1777976422409</v>
      </c>
      <c r="B68" s="34">
        <v>18</v>
      </c>
      <c r="C68" s="6" t="s">
        <v>39</v>
      </c>
      <c r="D68" s="34">
        <v>200</v>
      </c>
      <c r="E68" s="34" t="s">
        <v>34</v>
      </c>
      <c r="F68" s="34" t="s">
        <v>35</v>
      </c>
      <c r="G68" s="34" t="s">
        <v>36</v>
      </c>
      <c r="H68" s="34" t="b">
        <v>1</v>
      </c>
      <c r="I68" s="34"/>
      <c r="J68" s="34">
        <v>228</v>
      </c>
      <c r="K68" s="34">
        <v>386</v>
      </c>
      <c r="L68" s="34">
        <v>1</v>
      </c>
      <c r="M68" s="34">
        <v>1</v>
      </c>
      <c r="N68" s="6" t="s">
        <v>37</v>
      </c>
      <c r="O68" s="34">
        <v>18</v>
      </c>
      <c r="P68" s="34">
        <v>0</v>
      </c>
      <c r="Q68" s="34">
        <v>0</v>
      </c>
      <c r="R68" s="61"/>
    </row>
    <row r="69" spans="1:18" ht="15" thickBot="1">
      <c r="A69" s="62">
        <v>1777976422428</v>
      </c>
      <c r="B69" s="39">
        <v>14</v>
      </c>
      <c r="C69" s="63" t="s">
        <v>40</v>
      </c>
      <c r="D69" s="39">
        <v>200</v>
      </c>
      <c r="E69" s="39" t="s">
        <v>34</v>
      </c>
      <c r="F69" s="39" t="s">
        <v>35</v>
      </c>
      <c r="G69" s="39" t="s">
        <v>36</v>
      </c>
      <c r="H69" s="39" t="b">
        <v>1</v>
      </c>
      <c r="I69" s="39"/>
      <c r="J69" s="39">
        <v>274</v>
      </c>
      <c r="K69" s="39">
        <v>369</v>
      </c>
      <c r="L69" s="39">
        <v>1</v>
      </c>
      <c r="M69" s="39">
        <v>1</v>
      </c>
      <c r="N69" s="63" t="s">
        <v>37</v>
      </c>
      <c r="O69" s="39">
        <v>12</v>
      </c>
      <c r="P69" s="39">
        <v>0</v>
      </c>
      <c r="Q69" s="39">
        <v>0</v>
      </c>
      <c r="R69" s="62"/>
    </row>
    <row r="70" spans="1:18">
      <c r="R70" s="66"/>
    </row>
    <row r="71" spans="1:18">
      <c r="A71" s="169" t="s">
        <v>171</v>
      </c>
      <c r="B71" s="169"/>
      <c r="C71" s="22" t="s">
        <v>172</v>
      </c>
      <c r="D71" s="24"/>
      <c r="E71" s="9"/>
      <c r="F71" s="9"/>
      <c r="G71" s="9"/>
      <c r="H71" s="9"/>
      <c r="I71" s="9"/>
      <c r="J71" s="9"/>
      <c r="K71" s="9"/>
      <c r="L71" s="9"/>
      <c r="M71" s="9"/>
      <c r="N71" s="15"/>
      <c r="O71" s="9"/>
      <c r="P71" s="9"/>
      <c r="Q71" s="9"/>
      <c r="R71" s="9"/>
    </row>
    <row r="72" spans="1:18">
      <c r="A72" s="168" t="s">
        <v>13</v>
      </c>
      <c r="B72" s="168"/>
      <c r="C72" s="58" t="s">
        <v>173</v>
      </c>
      <c r="D72" s="24"/>
      <c r="E72" s="9"/>
      <c r="F72" s="9"/>
      <c r="G72" s="9"/>
      <c r="H72" s="9"/>
      <c r="I72" s="9"/>
      <c r="J72" s="9"/>
      <c r="K72" s="9"/>
      <c r="L72" s="9"/>
      <c r="M72" s="9"/>
      <c r="N72" s="15"/>
      <c r="O72" s="9"/>
      <c r="P72" s="9"/>
      <c r="Q72" s="9"/>
      <c r="R72" s="9"/>
    </row>
    <row r="73" spans="1:18">
      <c r="A73" s="64"/>
      <c r="B73" s="64"/>
      <c r="D73" s="9"/>
      <c r="E73" s="9"/>
      <c r="F73" s="9"/>
      <c r="G73" s="9"/>
      <c r="H73" s="9"/>
      <c r="I73" s="9"/>
      <c r="J73" s="9"/>
      <c r="K73" s="9"/>
      <c r="L73" s="9"/>
      <c r="M73" s="9"/>
      <c r="N73" s="15"/>
      <c r="O73" s="9"/>
      <c r="P73" s="9"/>
      <c r="Q73" s="9"/>
      <c r="R73" s="9"/>
    </row>
    <row r="74" spans="1:18">
      <c r="A74" s="59" t="s">
        <v>15</v>
      </c>
      <c r="B74" s="31" t="s">
        <v>16</v>
      </c>
      <c r="C74" s="60" t="s">
        <v>17</v>
      </c>
      <c r="D74" s="31" t="s">
        <v>18</v>
      </c>
      <c r="E74" s="31" t="s">
        <v>19</v>
      </c>
      <c r="F74" s="31" t="s">
        <v>20</v>
      </c>
      <c r="G74" s="31" t="s">
        <v>21</v>
      </c>
      <c r="H74" s="31" t="s">
        <v>22</v>
      </c>
      <c r="I74" s="31" t="s">
        <v>23</v>
      </c>
      <c r="J74" s="31" t="s">
        <v>24</v>
      </c>
      <c r="K74" s="31" t="s">
        <v>25</v>
      </c>
      <c r="L74" s="31" t="s">
        <v>26</v>
      </c>
      <c r="M74" s="31" t="s">
        <v>27</v>
      </c>
      <c r="N74" s="31" t="s">
        <v>28</v>
      </c>
      <c r="O74" s="31" t="s">
        <v>29</v>
      </c>
      <c r="P74" s="31" t="s">
        <v>30</v>
      </c>
      <c r="Q74" s="31" t="s">
        <v>31</v>
      </c>
      <c r="R74" s="31" t="s">
        <v>32</v>
      </c>
    </row>
    <row r="75" spans="1:18" ht="15" customHeight="1">
      <c r="A75" s="61">
        <v>1778145281210</v>
      </c>
      <c r="B75" s="34">
        <v>3197639</v>
      </c>
      <c r="C75" s="6" t="s">
        <v>33</v>
      </c>
      <c r="D75" s="34">
        <v>200</v>
      </c>
      <c r="E75" s="34" t="s">
        <v>34</v>
      </c>
      <c r="F75" s="34" t="s">
        <v>35</v>
      </c>
      <c r="G75" s="34" t="s">
        <v>36</v>
      </c>
      <c r="H75" s="34" t="b">
        <v>1</v>
      </c>
      <c r="I75" s="34"/>
      <c r="J75" s="34">
        <v>207</v>
      </c>
      <c r="K75" s="34">
        <v>460</v>
      </c>
      <c r="L75" s="34">
        <v>1</v>
      </c>
      <c r="M75" s="34">
        <v>1</v>
      </c>
      <c r="N75" s="6" t="s">
        <v>37</v>
      </c>
      <c r="O75" s="34">
        <v>3197638</v>
      </c>
      <c r="P75" s="34">
        <v>0</v>
      </c>
      <c r="Q75" s="34">
        <v>2</v>
      </c>
      <c r="R75" s="61"/>
    </row>
    <row r="76" spans="1:18" ht="15" customHeight="1">
      <c r="A76" s="61">
        <v>1778148478853</v>
      </c>
      <c r="B76" s="34">
        <v>44</v>
      </c>
      <c r="C76" s="6" t="s">
        <v>38</v>
      </c>
      <c r="D76" s="34">
        <v>200</v>
      </c>
      <c r="E76" s="34" t="s">
        <v>34</v>
      </c>
      <c r="F76" s="34" t="s">
        <v>35</v>
      </c>
      <c r="G76" s="34" t="s">
        <v>36</v>
      </c>
      <c r="H76" s="34" t="b">
        <v>1</v>
      </c>
      <c r="I76" s="34"/>
      <c r="J76" s="34">
        <v>8441</v>
      </c>
      <c r="K76" s="34">
        <v>344</v>
      </c>
      <c r="L76" s="34">
        <v>1</v>
      </c>
      <c r="M76" s="34">
        <v>1</v>
      </c>
      <c r="N76" s="6" t="s">
        <v>37</v>
      </c>
      <c r="O76" s="34">
        <v>44</v>
      </c>
      <c r="P76" s="34">
        <v>0</v>
      </c>
      <c r="Q76" s="34">
        <v>3</v>
      </c>
      <c r="R76" s="61"/>
    </row>
    <row r="77" spans="1:18" ht="15" customHeight="1">
      <c r="A77" s="61">
        <v>1778148479054</v>
      </c>
      <c r="B77" s="34">
        <v>20</v>
      </c>
      <c r="C77" s="6" t="s">
        <v>39</v>
      </c>
      <c r="D77" s="34">
        <v>200</v>
      </c>
      <c r="E77" s="34" t="s">
        <v>34</v>
      </c>
      <c r="F77" s="34" t="s">
        <v>35</v>
      </c>
      <c r="G77" s="34" t="s">
        <v>36</v>
      </c>
      <c r="H77" s="34" t="b">
        <v>1</v>
      </c>
      <c r="I77" s="34"/>
      <c r="J77" s="34">
        <v>228</v>
      </c>
      <c r="K77" s="34">
        <v>386</v>
      </c>
      <c r="L77" s="34">
        <v>1</v>
      </c>
      <c r="M77" s="34">
        <v>1</v>
      </c>
      <c r="N77" s="6" t="s">
        <v>37</v>
      </c>
      <c r="O77" s="34">
        <v>20</v>
      </c>
      <c r="P77" s="34">
        <v>0</v>
      </c>
      <c r="Q77" s="34">
        <v>0</v>
      </c>
      <c r="R77" s="61"/>
    </row>
    <row r="78" spans="1:18" ht="15" customHeight="1" thickBot="1">
      <c r="A78" s="62">
        <v>1778148479075</v>
      </c>
      <c r="B78" s="39">
        <v>23</v>
      </c>
      <c r="C78" s="63" t="s">
        <v>40</v>
      </c>
      <c r="D78" s="39">
        <v>200</v>
      </c>
      <c r="E78" s="39" t="s">
        <v>34</v>
      </c>
      <c r="F78" s="39" t="s">
        <v>35</v>
      </c>
      <c r="G78" s="39" t="s">
        <v>36</v>
      </c>
      <c r="H78" s="39" t="b">
        <v>1</v>
      </c>
      <c r="I78" s="39"/>
      <c r="J78" s="39">
        <v>269</v>
      </c>
      <c r="K78" s="39">
        <v>369</v>
      </c>
      <c r="L78" s="39">
        <v>1</v>
      </c>
      <c r="M78" s="39">
        <v>1</v>
      </c>
      <c r="N78" s="63" t="s">
        <v>37</v>
      </c>
      <c r="O78" s="39">
        <v>23</v>
      </c>
      <c r="P78" s="39">
        <v>0</v>
      </c>
      <c r="Q78" s="39">
        <v>0</v>
      </c>
      <c r="R78" s="62"/>
    </row>
    <row r="80" spans="1:18">
      <c r="A80" s="169" t="s">
        <v>58</v>
      </c>
      <c r="B80" s="169"/>
      <c r="C80" s="22" t="s">
        <v>59</v>
      </c>
      <c r="D80" s="24"/>
      <c r="E80" s="9"/>
      <c r="F80" s="9"/>
      <c r="G80" s="9"/>
      <c r="H80" s="9"/>
      <c r="I80" s="9"/>
      <c r="J80" s="9"/>
      <c r="K80" s="9"/>
      <c r="L80" s="9"/>
      <c r="M80" s="9"/>
      <c r="N80" s="15"/>
      <c r="O80" s="9"/>
      <c r="P80" s="9"/>
      <c r="Q80" s="9"/>
      <c r="R80" s="9"/>
    </row>
    <row r="81" spans="1:18">
      <c r="A81" s="168" t="s">
        <v>13</v>
      </c>
      <c r="B81" s="168"/>
      <c r="C81" s="58" t="s">
        <v>174</v>
      </c>
      <c r="D81" s="24"/>
      <c r="E81" s="9"/>
      <c r="F81" s="9"/>
      <c r="G81" s="9"/>
      <c r="H81" s="9"/>
      <c r="I81" s="9"/>
      <c r="J81" s="9"/>
      <c r="K81" s="9"/>
      <c r="L81" s="9"/>
      <c r="M81" s="9"/>
      <c r="N81" s="15"/>
      <c r="O81" s="9"/>
      <c r="P81" s="9"/>
      <c r="Q81" s="9"/>
      <c r="R81" s="9"/>
    </row>
    <row r="82" spans="1:18">
      <c r="A82" s="64"/>
      <c r="B82" s="64"/>
      <c r="D82" s="9"/>
      <c r="E82" s="9"/>
      <c r="F82" s="9"/>
      <c r="G82" s="9"/>
      <c r="H82" s="9"/>
      <c r="I82" s="9"/>
      <c r="J82" s="9"/>
      <c r="K82" s="9"/>
      <c r="L82" s="9"/>
      <c r="M82" s="9"/>
      <c r="N82" s="15"/>
      <c r="O82" s="9"/>
      <c r="P82" s="9"/>
      <c r="Q82" s="9"/>
      <c r="R82" s="9"/>
    </row>
    <row r="83" spans="1:18">
      <c r="A83" s="59" t="s">
        <v>15</v>
      </c>
      <c r="B83" s="31" t="s">
        <v>16</v>
      </c>
      <c r="C83" s="60" t="s">
        <v>17</v>
      </c>
      <c r="D83" s="31" t="s">
        <v>18</v>
      </c>
      <c r="E83" s="31" t="s">
        <v>19</v>
      </c>
      <c r="F83" s="31" t="s">
        <v>20</v>
      </c>
      <c r="G83" s="31" t="s">
        <v>21</v>
      </c>
      <c r="H83" s="31" t="s">
        <v>22</v>
      </c>
      <c r="I83" s="31" t="s">
        <v>23</v>
      </c>
      <c r="J83" s="31" t="s">
        <v>24</v>
      </c>
      <c r="K83" s="31" t="s">
        <v>25</v>
      </c>
      <c r="L83" s="31" t="s">
        <v>26</v>
      </c>
      <c r="M83" s="31" t="s">
        <v>27</v>
      </c>
      <c r="N83" s="31" t="s">
        <v>28</v>
      </c>
      <c r="O83" s="31" t="s">
        <v>29</v>
      </c>
      <c r="P83" s="31" t="s">
        <v>30</v>
      </c>
      <c r="Q83" s="31" t="s">
        <v>31</v>
      </c>
      <c r="R83" s="31" t="s">
        <v>32</v>
      </c>
    </row>
    <row r="84" spans="1:18">
      <c r="A84" s="61">
        <v>1777976773741</v>
      </c>
      <c r="B84" s="34">
        <v>27914</v>
      </c>
      <c r="C84" s="6" t="s">
        <v>33</v>
      </c>
      <c r="D84" s="34">
        <v>200</v>
      </c>
      <c r="E84" s="34" t="s">
        <v>34</v>
      </c>
      <c r="F84" s="34" t="s">
        <v>35</v>
      </c>
      <c r="G84" s="34" t="s">
        <v>36</v>
      </c>
      <c r="H84" s="34" t="b">
        <v>1</v>
      </c>
      <c r="I84" s="34"/>
      <c r="J84" s="34">
        <v>206</v>
      </c>
      <c r="K84" s="34">
        <v>458</v>
      </c>
      <c r="L84" s="34">
        <v>1</v>
      </c>
      <c r="M84" s="34">
        <v>1</v>
      </c>
      <c r="N84" s="6" t="s">
        <v>37</v>
      </c>
      <c r="O84" s="34">
        <v>27913</v>
      </c>
      <c r="P84" s="34">
        <v>0</v>
      </c>
      <c r="Q84" s="34">
        <v>7</v>
      </c>
      <c r="R84" s="61"/>
    </row>
    <row r="85" spans="1:18">
      <c r="A85" s="61">
        <v>1777976801656</v>
      </c>
      <c r="B85" s="34">
        <v>23</v>
      </c>
      <c r="C85" s="6" t="s">
        <v>38</v>
      </c>
      <c r="D85" s="34">
        <v>200</v>
      </c>
      <c r="E85" s="34" t="s">
        <v>34</v>
      </c>
      <c r="F85" s="34" t="s">
        <v>35</v>
      </c>
      <c r="G85" s="34" t="s">
        <v>36</v>
      </c>
      <c r="H85" s="34" t="b">
        <v>1</v>
      </c>
      <c r="I85" s="34"/>
      <c r="J85" s="34">
        <v>3275</v>
      </c>
      <c r="K85" s="34">
        <v>344</v>
      </c>
      <c r="L85" s="34">
        <v>1</v>
      </c>
      <c r="M85" s="34">
        <v>1</v>
      </c>
      <c r="N85" s="6" t="s">
        <v>37</v>
      </c>
      <c r="O85" s="34">
        <v>23</v>
      </c>
      <c r="P85" s="34">
        <v>0</v>
      </c>
      <c r="Q85" s="34">
        <v>0</v>
      </c>
      <c r="R85" s="61"/>
    </row>
    <row r="86" spans="1:18">
      <c r="A86" s="61">
        <v>1777976801796</v>
      </c>
      <c r="B86" s="34">
        <v>13</v>
      </c>
      <c r="C86" s="6" t="s">
        <v>39</v>
      </c>
      <c r="D86" s="34">
        <v>200</v>
      </c>
      <c r="E86" s="34" t="s">
        <v>34</v>
      </c>
      <c r="F86" s="34" t="s">
        <v>35</v>
      </c>
      <c r="G86" s="34" t="s">
        <v>36</v>
      </c>
      <c r="H86" s="34" t="b">
        <v>1</v>
      </c>
      <c r="I86" s="34"/>
      <c r="J86" s="34">
        <v>1722</v>
      </c>
      <c r="K86" s="34">
        <v>386</v>
      </c>
      <c r="L86" s="34">
        <v>1</v>
      </c>
      <c r="M86" s="34">
        <v>1</v>
      </c>
      <c r="N86" s="6" t="s">
        <v>37</v>
      </c>
      <c r="O86" s="34">
        <v>12</v>
      </c>
      <c r="P86" s="34">
        <v>0</v>
      </c>
      <c r="Q86" s="34">
        <v>0</v>
      </c>
      <c r="R86" s="61"/>
    </row>
    <row r="87" spans="1:18" ht="15" thickBot="1">
      <c r="A87" s="62">
        <v>1777976801809</v>
      </c>
      <c r="B87" s="39">
        <v>14</v>
      </c>
      <c r="C87" s="63" t="s">
        <v>40</v>
      </c>
      <c r="D87" s="39">
        <v>200</v>
      </c>
      <c r="E87" s="39" t="s">
        <v>34</v>
      </c>
      <c r="F87" s="39" t="s">
        <v>35</v>
      </c>
      <c r="G87" s="39" t="s">
        <v>36</v>
      </c>
      <c r="H87" s="39" t="b">
        <v>1</v>
      </c>
      <c r="I87" s="39"/>
      <c r="J87" s="39">
        <v>590</v>
      </c>
      <c r="K87" s="39">
        <v>371</v>
      </c>
      <c r="L87" s="39">
        <v>1</v>
      </c>
      <c r="M87" s="39">
        <v>1</v>
      </c>
      <c r="N87" s="63" t="s">
        <v>37</v>
      </c>
      <c r="O87" s="39">
        <v>14</v>
      </c>
      <c r="P87" s="39">
        <v>0</v>
      </c>
      <c r="Q87" s="39">
        <v>0</v>
      </c>
      <c r="R87" s="62"/>
    </row>
    <row r="89" spans="1:18">
      <c r="A89" s="169" t="s">
        <v>61</v>
      </c>
      <c r="B89" s="169"/>
      <c r="C89" s="22" t="s">
        <v>62</v>
      </c>
      <c r="D89" s="24"/>
      <c r="E89" s="9"/>
      <c r="F89" s="9"/>
      <c r="G89" s="9"/>
      <c r="H89" s="9"/>
      <c r="I89" s="9"/>
      <c r="J89" s="9"/>
      <c r="K89" s="9"/>
      <c r="L89" s="9"/>
      <c r="M89" s="9"/>
      <c r="N89" s="15"/>
      <c r="O89" s="9"/>
      <c r="P89" s="9"/>
      <c r="Q89" s="9"/>
      <c r="R89" s="9"/>
    </row>
    <row r="90" spans="1:18">
      <c r="A90" s="168" t="s">
        <v>13</v>
      </c>
      <c r="B90" s="168"/>
      <c r="C90" s="58" t="s">
        <v>175</v>
      </c>
      <c r="D90" s="24"/>
      <c r="E90" s="9"/>
      <c r="F90" s="9"/>
      <c r="G90" s="9"/>
      <c r="H90" s="9"/>
      <c r="I90" s="9"/>
      <c r="J90" s="9"/>
      <c r="K90" s="9"/>
      <c r="L90" s="9"/>
      <c r="M90" s="9"/>
      <c r="N90" s="15"/>
      <c r="O90" s="9"/>
      <c r="P90" s="9"/>
      <c r="Q90" s="9"/>
      <c r="R90" s="9"/>
    </row>
    <row r="91" spans="1:18">
      <c r="A91" s="64"/>
      <c r="B91" s="64"/>
      <c r="D91" s="9"/>
      <c r="E91" s="9"/>
      <c r="F91" s="9"/>
      <c r="G91" s="9"/>
      <c r="H91" s="9"/>
      <c r="I91" s="9"/>
      <c r="J91" s="9"/>
      <c r="K91" s="9"/>
      <c r="L91" s="9"/>
      <c r="M91" s="9"/>
      <c r="N91" s="15"/>
      <c r="O91" s="9"/>
      <c r="P91" s="9"/>
      <c r="Q91" s="9"/>
      <c r="R91" s="9"/>
    </row>
    <row r="92" spans="1:18">
      <c r="A92" s="59" t="s">
        <v>15</v>
      </c>
      <c r="B92" s="31" t="s">
        <v>16</v>
      </c>
      <c r="C92" s="60" t="s">
        <v>17</v>
      </c>
      <c r="D92" s="31" t="s">
        <v>18</v>
      </c>
      <c r="E92" s="31" t="s">
        <v>19</v>
      </c>
      <c r="F92" s="31" t="s">
        <v>20</v>
      </c>
      <c r="G92" s="31" t="s">
        <v>21</v>
      </c>
      <c r="H92" s="31" t="s">
        <v>22</v>
      </c>
      <c r="I92" s="31" t="s">
        <v>23</v>
      </c>
      <c r="J92" s="31" t="s">
        <v>24</v>
      </c>
      <c r="K92" s="31" t="s">
        <v>25</v>
      </c>
      <c r="L92" s="31" t="s">
        <v>26</v>
      </c>
      <c r="M92" s="31" t="s">
        <v>27</v>
      </c>
      <c r="N92" s="31" t="s">
        <v>28</v>
      </c>
      <c r="O92" s="31" t="s">
        <v>29</v>
      </c>
      <c r="P92" s="31" t="s">
        <v>30</v>
      </c>
      <c r="Q92" s="31" t="s">
        <v>31</v>
      </c>
      <c r="R92" s="31" t="s">
        <v>32</v>
      </c>
    </row>
    <row r="93" spans="1:18">
      <c r="A93" s="61">
        <v>1777977031800</v>
      </c>
      <c r="B93" s="34">
        <v>37405</v>
      </c>
      <c r="C93" s="6" t="s">
        <v>33</v>
      </c>
      <c r="D93" s="34">
        <v>200</v>
      </c>
      <c r="E93" s="34" t="s">
        <v>34</v>
      </c>
      <c r="F93" s="34" t="s">
        <v>35</v>
      </c>
      <c r="G93" s="34" t="s">
        <v>36</v>
      </c>
      <c r="H93" s="34" t="b">
        <v>1</v>
      </c>
      <c r="I93" s="34"/>
      <c r="J93" s="34">
        <v>206</v>
      </c>
      <c r="K93" s="34">
        <v>458</v>
      </c>
      <c r="L93" s="34">
        <v>1</v>
      </c>
      <c r="M93" s="34">
        <v>1</v>
      </c>
      <c r="N93" s="6" t="s">
        <v>37</v>
      </c>
      <c r="O93" s="34">
        <v>37405</v>
      </c>
      <c r="P93" s="34">
        <v>0</v>
      </c>
      <c r="Q93" s="34">
        <v>7</v>
      </c>
      <c r="R93" s="61"/>
    </row>
    <row r="94" spans="1:18">
      <c r="A94" s="61">
        <v>1777977069206</v>
      </c>
      <c r="B94" s="34">
        <v>15</v>
      </c>
      <c r="C94" s="6" t="s">
        <v>38</v>
      </c>
      <c r="D94" s="34">
        <v>200</v>
      </c>
      <c r="E94" s="34" t="s">
        <v>34</v>
      </c>
      <c r="F94" s="34" t="s">
        <v>35</v>
      </c>
      <c r="G94" s="34" t="s">
        <v>36</v>
      </c>
      <c r="H94" s="34" t="b">
        <v>1</v>
      </c>
      <c r="I94" s="34"/>
      <c r="J94" s="34">
        <v>3660</v>
      </c>
      <c r="K94" s="34">
        <v>344</v>
      </c>
      <c r="L94" s="34">
        <v>1</v>
      </c>
      <c r="M94" s="34">
        <v>1</v>
      </c>
      <c r="N94" s="6" t="s">
        <v>37</v>
      </c>
      <c r="O94" s="34">
        <v>15</v>
      </c>
      <c r="P94" s="34">
        <v>0</v>
      </c>
      <c r="Q94" s="34">
        <v>0</v>
      </c>
      <c r="R94" s="61"/>
    </row>
    <row r="95" spans="1:18">
      <c r="A95" s="61">
        <v>1777977069326</v>
      </c>
      <c r="B95" s="34">
        <v>12</v>
      </c>
      <c r="C95" s="6" t="s">
        <v>39</v>
      </c>
      <c r="D95" s="34">
        <v>200</v>
      </c>
      <c r="E95" s="34" t="s">
        <v>34</v>
      </c>
      <c r="F95" s="34" t="s">
        <v>35</v>
      </c>
      <c r="G95" s="34" t="s">
        <v>36</v>
      </c>
      <c r="H95" s="34" t="b">
        <v>1</v>
      </c>
      <c r="I95" s="34"/>
      <c r="J95" s="34">
        <v>218</v>
      </c>
      <c r="K95" s="34">
        <v>386</v>
      </c>
      <c r="L95" s="34">
        <v>1</v>
      </c>
      <c r="M95" s="34">
        <v>1</v>
      </c>
      <c r="N95" s="6" t="s">
        <v>37</v>
      </c>
      <c r="O95" s="34">
        <v>12</v>
      </c>
      <c r="P95" s="34">
        <v>0</v>
      </c>
      <c r="Q95" s="34">
        <v>0</v>
      </c>
      <c r="R95" s="61"/>
    </row>
    <row r="96" spans="1:18" ht="15" thickBot="1">
      <c r="A96" s="62">
        <v>1777977069339</v>
      </c>
      <c r="B96" s="39">
        <v>14</v>
      </c>
      <c r="C96" s="63" t="s">
        <v>40</v>
      </c>
      <c r="D96" s="39">
        <v>200</v>
      </c>
      <c r="E96" s="39" t="s">
        <v>34</v>
      </c>
      <c r="F96" s="39" t="s">
        <v>35</v>
      </c>
      <c r="G96" s="39" t="s">
        <v>36</v>
      </c>
      <c r="H96" s="39" t="b">
        <v>1</v>
      </c>
      <c r="I96" s="39"/>
      <c r="J96" s="39">
        <v>542</v>
      </c>
      <c r="K96" s="39">
        <v>369</v>
      </c>
      <c r="L96" s="39">
        <v>1</v>
      </c>
      <c r="M96" s="39">
        <v>1</v>
      </c>
      <c r="N96" s="63" t="s">
        <v>37</v>
      </c>
      <c r="O96" s="39">
        <v>14</v>
      </c>
      <c r="P96" s="39">
        <v>0</v>
      </c>
      <c r="Q96" s="39">
        <v>0</v>
      </c>
      <c r="R96" s="62"/>
    </row>
    <row r="98" spans="1:18">
      <c r="A98" s="169" t="s">
        <v>64</v>
      </c>
      <c r="B98" s="169"/>
      <c r="C98" s="22" t="s">
        <v>65</v>
      </c>
      <c r="D98" s="24"/>
      <c r="E98" s="9"/>
      <c r="F98" s="9"/>
      <c r="G98" s="9"/>
      <c r="H98" s="9"/>
      <c r="I98" s="9"/>
      <c r="J98" s="9"/>
      <c r="K98" s="9"/>
      <c r="L98" s="9"/>
      <c r="M98" s="9"/>
      <c r="N98" s="15"/>
      <c r="O98" s="9"/>
      <c r="P98" s="9"/>
      <c r="Q98" s="9"/>
      <c r="R98" s="9"/>
    </row>
    <row r="99" spans="1:18">
      <c r="A99" s="168" t="s">
        <v>13</v>
      </c>
      <c r="B99" s="168"/>
      <c r="C99" s="58" t="s">
        <v>177</v>
      </c>
      <c r="D99" s="24"/>
      <c r="E99" s="9"/>
      <c r="F99" s="9"/>
      <c r="G99" s="9"/>
      <c r="H99" s="9"/>
      <c r="I99" s="9"/>
      <c r="J99" s="9"/>
      <c r="K99" s="9"/>
      <c r="L99" s="9"/>
      <c r="M99" s="9"/>
      <c r="N99" s="15"/>
      <c r="O99" s="9"/>
      <c r="P99" s="9"/>
      <c r="Q99" s="9"/>
      <c r="R99" s="9"/>
    </row>
    <row r="100" spans="1:18">
      <c r="A100" s="64"/>
      <c r="B100" s="64"/>
      <c r="D100" s="9"/>
      <c r="E100" s="9"/>
      <c r="F100" s="9"/>
      <c r="G100" s="9"/>
      <c r="H100" s="9"/>
      <c r="I100" s="9"/>
      <c r="J100" s="9"/>
      <c r="K100" s="9"/>
      <c r="L100" s="9"/>
      <c r="M100" s="9"/>
      <c r="N100" s="15"/>
      <c r="O100" s="9"/>
      <c r="P100" s="9"/>
      <c r="Q100" s="9"/>
      <c r="R100" s="9"/>
    </row>
    <row r="101" spans="1:18">
      <c r="A101" s="59" t="s">
        <v>15</v>
      </c>
      <c r="B101" s="31" t="s">
        <v>16</v>
      </c>
      <c r="C101" s="60" t="s">
        <v>17</v>
      </c>
      <c r="D101" s="31" t="s">
        <v>18</v>
      </c>
      <c r="E101" s="31" t="s">
        <v>19</v>
      </c>
      <c r="F101" s="31" t="s">
        <v>20</v>
      </c>
      <c r="G101" s="31" t="s">
        <v>21</v>
      </c>
      <c r="H101" s="31" t="s">
        <v>22</v>
      </c>
      <c r="I101" s="31" t="s">
        <v>23</v>
      </c>
      <c r="J101" s="31" t="s">
        <v>24</v>
      </c>
      <c r="K101" s="31" t="s">
        <v>25</v>
      </c>
      <c r="L101" s="31" t="s">
        <v>26</v>
      </c>
      <c r="M101" s="31" t="s">
        <v>27</v>
      </c>
      <c r="N101" s="31" t="s">
        <v>28</v>
      </c>
      <c r="O101" s="31" t="s">
        <v>29</v>
      </c>
      <c r="P101" s="31" t="s">
        <v>30</v>
      </c>
      <c r="Q101" s="31" t="s">
        <v>31</v>
      </c>
      <c r="R101" s="31" t="s">
        <v>32</v>
      </c>
    </row>
    <row r="102" spans="1:18">
      <c r="A102" s="61">
        <v>1778060082153</v>
      </c>
      <c r="B102" s="34">
        <v>7238976</v>
      </c>
      <c r="C102" s="6" t="s">
        <v>33</v>
      </c>
      <c r="D102" s="34">
        <v>200</v>
      </c>
      <c r="E102" s="34" t="s">
        <v>34</v>
      </c>
      <c r="F102" s="34" t="s">
        <v>35</v>
      </c>
      <c r="G102" s="34" t="s">
        <v>36</v>
      </c>
      <c r="H102" s="34" t="b">
        <v>1</v>
      </c>
      <c r="I102" s="34"/>
      <c r="J102" s="34">
        <v>207</v>
      </c>
      <c r="K102" s="34">
        <v>472</v>
      </c>
      <c r="L102" s="34">
        <v>1</v>
      </c>
      <c r="M102" s="34">
        <v>1</v>
      </c>
      <c r="N102" s="6" t="s">
        <v>37</v>
      </c>
      <c r="O102" s="34">
        <v>7238975</v>
      </c>
      <c r="P102" s="34">
        <v>0</v>
      </c>
      <c r="Q102" s="34">
        <v>2</v>
      </c>
      <c r="R102" s="61"/>
    </row>
    <row r="103" spans="1:18">
      <c r="A103" s="61">
        <v>1778067321137</v>
      </c>
      <c r="B103" s="34">
        <v>38</v>
      </c>
      <c r="C103" s="6" t="s">
        <v>38</v>
      </c>
      <c r="D103" s="34">
        <v>200</v>
      </c>
      <c r="E103" s="34" t="s">
        <v>34</v>
      </c>
      <c r="F103" s="34" t="s">
        <v>35</v>
      </c>
      <c r="G103" s="34" t="s">
        <v>36</v>
      </c>
      <c r="H103" s="34" t="b">
        <v>1</v>
      </c>
      <c r="I103" s="34"/>
      <c r="J103" s="34">
        <v>7282</v>
      </c>
      <c r="K103" s="34">
        <v>344</v>
      </c>
      <c r="L103" s="34">
        <v>1</v>
      </c>
      <c r="M103" s="34">
        <v>1</v>
      </c>
      <c r="N103" s="6" t="s">
        <v>37</v>
      </c>
      <c r="O103" s="34">
        <v>38</v>
      </c>
      <c r="P103" s="34">
        <v>0</v>
      </c>
      <c r="Q103" s="34">
        <v>3</v>
      </c>
      <c r="R103" s="61"/>
    </row>
    <row r="104" spans="1:18">
      <c r="A104" s="61">
        <v>1778067321316</v>
      </c>
      <c r="B104" s="34">
        <v>263</v>
      </c>
      <c r="C104" s="6" t="s">
        <v>39</v>
      </c>
      <c r="D104" s="34">
        <v>500</v>
      </c>
      <c r="E104" s="34" t="s">
        <v>67</v>
      </c>
      <c r="F104" s="34" t="s">
        <v>35</v>
      </c>
      <c r="G104" s="34" t="s">
        <v>36</v>
      </c>
      <c r="H104" s="34" t="b">
        <v>0</v>
      </c>
      <c r="I104" s="34"/>
      <c r="J104" s="34">
        <v>189</v>
      </c>
      <c r="K104" s="34">
        <v>387</v>
      </c>
      <c r="L104" s="34">
        <v>1</v>
      </c>
      <c r="M104" s="34">
        <v>1</v>
      </c>
      <c r="N104" s="6" t="s">
        <v>37</v>
      </c>
      <c r="O104" s="34">
        <v>263</v>
      </c>
      <c r="P104" s="34">
        <v>0</v>
      </c>
      <c r="Q104" s="34">
        <v>0</v>
      </c>
      <c r="R104" s="61"/>
    </row>
    <row r="105" spans="1:18" ht="15" thickBot="1">
      <c r="A105" s="62">
        <v>1778067321583</v>
      </c>
      <c r="B105" s="39">
        <v>15</v>
      </c>
      <c r="C105" s="63" t="s">
        <v>40</v>
      </c>
      <c r="D105" s="39">
        <v>200</v>
      </c>
      <c r="E105" s="39" t="s">
        <v>34</v>
      </c>
      <c r="F105" s="39" t="s">
        <v>35</v>
      </c>
      <c r="G105" s="39" t="s">
        <v>36</v>
      </c>
      <c r="H105" s="39" t="b">
        <v>1</v>
      </c>
      <c r="I105" s="39"/>
      <c r="J105" s="39">
        <v>676</v>
      </c>
      <c r="K105" s="39">
        <v>373</v>
      </c>
      <c r="L105" s="39">
        <v>1</v>
      </c>
      <c r="M105" s="39">
        <v>1</v>
      </c>
      <c r="N105" s="63" t="s">
        <v>37</v>
      </c>
      <c r="O105" s="39">
        <v>15</v>
      </c>
      <c r="P105" s="39">
        <v>0</v>
      </c>
      <c r="Q105" s="39">
        <v>0</v>
      </c>
      <c r="R105" s="62"/>
    </row>
    <row r="107" spans="1:18">
      <c r="A107" s="169" t="s">
        <v>68</v>
      </c>
      <c r="B107" s="169"/>
      <c r="C107" s="22" t="s">
        <v>153</v>
      </c>
      <c r="D107" s="24"/>
      <c r="E107" s="9"/>
      <c r="F107" s="9"/>
      <c r="G107" s="9"/>
      <c r="H107" s="9"/>
      <c r="I107" s="9"/>
      <c r="J107" s="9"/>
      <c r="K107" s="9"/>
      <c r="L107" s="9"/>
      <c r="M107" s="9"/>
      <c r="N107" s="15"/>
      <c r="O107" s="9"/>
      <c r="P107" s="9"/>
      <c r="Q107" s="9"/>
      <c r="R107" s="9"/>
    </row>
    <row r="108" spans="1:18">
      <c r="A108" s="168" t="s">
        <v>13</v>
      </c>
      <c r="B108" s="168"/>
      <c r="C108" s="58" t="s">
        <v>178</v>
      </c>
      <c r="D108" s="24"/>
      <c r="E108" s="9"/>
      <c r="F108" s="9"/>
      <c r="G108" s="9"/>
      <c r="H108" s="9"/>
      <c r="I108" s="9"/>
      <c r="J108" s="9"/>
      <c r="K108" s="9"/>
      <c r="L108" s="9"/>
      <c r="M108" s="9"/>
      <c r="N108" s="15"/>
      <c r="O108" s="9"/>
      <c r="P108" s="9"/>
      <c r="Q108" s="9"/>
      <c r="R108" s="9"/>
    </row>
    <row r="109" spans="1:18">
      <c r="A109" s="64"/>
      <c r="B109" s="64"/>
      <c r="D109" s="9"/>
      <c r="E109" s="9"/>
      <c r="F109" s="9"/>
      <c r="G109" s="9"/>
      <c r="H109" s="9"/>
      <c r="I109" s="9"/>
      <c r="J109" s="9"/>
      <c r="K109" s="9"/>
      <c r="L109" s="9"/>
      <c r="M109" s="9"/>
      <c r="N109" s="15"/>
      <c r="O109" s="9"/>
      <c r="P109" s="9"/>
      <c r="Q109" s="9"/>
      <c r="R109" s="9"/>
    </row>
    <row r="110" spans="1:18">
      <c r="A110" s="59" t="s">
        <v>15</v>
      </c>
      <c r="B110" s="31" t="s">
        <v>16</v>
      </c>
      <c r="C110" s="60" t="s">
        <v>17</v>
      </c>
      <c r="D110" s="31" t="s">
        <v>18</v>
      </c>
      <c r="E110" s="31" t="s">
        <v>19</v>
      </c>
      <c r="F110" s="31" t="s">
        <v>20</v>
      </c>
      <c r="G110" s="31" t="s">
        <v>21</v>
      </c>
      <c r="H110" s="31" t="s">
        <v>22</v>
      </c>
      <c r="I110" s="31" t="s">
        <v>23</v>
      </c>
      <c r="J110" s="31" t="s">
        <v>24</v>
      </c>
      <c r="K110" s="31" t="s">
        <v>25</v>
      </c>
      <c r="L110" s="31" t="s">
        <v>26</v>
      </c>
      <c r="M110" s="31" t="s">
        <v>27</v>
      </c>
      <c r="N110" s="31" t="s">
        <v>28</v>
      </c>
      <c r="O110" s="31" t="s">
        <v>29</v>
      </c>
      <c r="P110" s="31" t="s">
        <v>30</v>
      </c>
      <c r="Q110" s="31" t="s">
        <v>31</v>
      </c>
      <c r="R110" s="31" t="s">
        <v>32</v>
      </c>
    </row>
    <row r="111" spans="1:18">
      <c r="A111" s="61">
        <v>1778050110647</v>
      </c>
      <c r="B111" s="34">
        <v>1011</v>
      </c>
      <c r="C111" s="6" t="s">
        <v>33</v>
      </c>
      <c r="D111" s="34">
        <v>200</v>
      </c>
      <c r="E111" s="34" t="s">
        <v>34</v>
      </c>
      <c r="F111" s="34" t="s">
        <v>35</v>
      </c>
      <c r="G111" s="34" t="s">
        <v>36</v>
      </c>
      <c r="H111" s="34" t="b">
        <v>1</v>
      </c>
      <c r="I111" s="34"/>
      <c r="J111" s="34">
        <v>292</v>
      </c>
      <c r="K111" s="34">
        <v>459</v>
      </c>
      <c r="L111" s="34">
        <v>1</v>
      </c>
      <c r="M111" s="34">
        <v>1</v>
      </c>
      <c r="N111" s="6" t="s">
        <v>37</v>
      </c>
      <c r="O111" s="34">
        <v>1008</v>
      </c>
      <c r="P111" s="34">
        <v>0</v>
      </c>
      <c r="Q111" s="34">
        <v>41</v>
      </c>
      <c r="R111" s="61"/>
    </row>
    <row r="112" spans="1:18">
      <c r="A112" s="61">
        <v>1778050111663</v>
      </c>
      <c r="B112" s="34">
        <v>9903</v>
      </c>
      <c r="C112" s="6" t="s">
        <v>38</v>
      </c>
      <c r="D112" s="34">
        <v>200</v>
      </c>
      <c r="E112" s="34" t="s">
        <v>34</v>
      </c>
      <c r="F112" s="34" t="s">
        <v>35</v>
      </c>
      <c r="G112" s="34" t="s">
        <v>36</v>
      </c>
      <c r="H112" s="34" t="b">
        <v>1</v>
      </c>
      <c r="I112" s="34"/>
      <c r="J112" s="34">
        <v>4078</v>
      </c>
      <c r="K112" s="34">
        <v>344</v>
      </c>
      <c r="L112" s="34">
        <v>1</v>
      </c>
      <c r="M112" s="34">
        <v>1</v>
      </c>
      <c r="N112" s="6" t="s">
        <v>37</v>
      </c>
      <c r="O112" s="34">
        <v>9903</v>
      </c>
      <c r="P112" s="34">
        <v>0</v>
      </c>
      <c r="Q112" s="34">
        <v>0</v>
      </c>
      <c r="R112" s="61"/>
    </row>
    <row r="113" spans="1:18">
      <c r="A113" s="61">
        <v>1778050122859</v>
      </c>
      <c r="B113" s="34">
        <v>2064</v>
      </c>
      <c r="C113" s="6" t="s">
        <v>39</v>
      </c>
      <c r="D113" s="34" t="s">
        <v>72</v>
      </c>
      <c r="E113" s="34" t="s">
        <v>73</v>
      </c>
      <c r="F113" s="34" t="s">
        <v>35</v>
      </c>
      <c r="G113" s="34" t="s">
        <v>36</v>
      </c>
      <c r="H113" s="34" t="b">
        <v>0</v>
      </c>
      <c r="I113" s="34"/>
      <c r="J113" s="34">
        <v>2496</v>
      </c>
      <c r="K113" s="34">
        <v>0</v>
      </c>
      <c r="L113" s="34">
        <v>1</v>
      </c>
      <c r="M113" s="34">
        <v>1</v>
      </c>
      <c r="N113" s="6" t="s">
        <v>37</v>
      </c>
      <c r="O113" s="34">
        <v>0</v>
      </c>
      <c r="P113" s="34">
        <v>0</v>
      </c>
      <c r="Q113" s="34">
        <v>0</v>
      </c>
      <c r="R113" s="61"/>
    </row>
    <row r="114" spans="1:18" ht="15" thickBot="1">
      <c r="A114" s="62">
        <v>1778050124926</v>
      </c>
      <c r="B114" s="39">
        <v>3</v>
      </c>
      <c r="C114" s="63" t="s">
        <v>40</v>
      </c>
      <c r="D114" s="39" t="s">
        <v>74</v>
      </c>
      <c r="E114" s="39" t="s">
        <v>75</v>
      </c>
      <c r="F114" s="39" t="s">
        <v>35</v>
      </c>
      <c r="G114" s="39" t="s">
        <v>36</v>
      </c>
      <c r="H114" s="39" t="b">
        <v>0</v>
      </c>
      <c r="I114" s="39"/>
      <c r="J114" s="39">
        <v>2825</v>
      </c>
      <c r="K114" s="39">
        <v>0</v>
      </c>
      <c r="L114" s="39">
        <v>1</v>
      </c>
      <c r="M114" s="39">
        <v>1</v>
      </c>
      <c r="N114" s="63" t="s">
        <v>37</v>
      </c>
      <c r="O114" s="39">
        <v>0</v>
      </c>
      <c r="P114" s="39">
        <v>0</v>
      </c>
      <c r="Q114" s="39">
        <v>2</v>
      </c>
      <c r="R114" s="62"/>
    </row>
    <row r="116" spans="1:18">
      <c r="A116" s="169" t="s">
        <v>76</v>
      </c>
      <c r="B116" s="169"/>
      <c r="C116" s="22" t="s">
        <v>155</v>
      </c>
      <c r="D116" s="24"/>
      <c r="E116" s="9"/>
      <c r="F116" s="9"/>
      <c r="G116" s="9"/>
      <c r="H116" s="9"/>
      <c r="I116" s="9"/>
      <c r="J116" s="9"/>
      <c r="K116" s="9"/>
      <c r="L116" s="9"/>
      <c r="M116" s="9"/>
      <c r="N116" s="15"/>
      <c r="O116" s="9"/>
      <c r="P116" s="9"/>
      <c r="Q116" s="9"/>
      <c r="R116" s="9"/>
    </row>
    <row r="117" spans="1:18">
      <c r="A117" s="168" t="s">
        <v>13</v>
      </c>
      <c r="B117" s="168"/>
      <c r="C117" s="58" t="s">
        <v>179</v>
      </c>
      <c r="D117" s="24"/>
      <c r="E117" s="9"/>
      <c r="F117" s="9"/>
      <c r="G117" s="9"/>
      <c r="H117" s="9"/>
      <c r="I117" s="9"/>
      <c r="J117" s="9"/>
      <c r="K117" s="9"/>
      <c r="L117" s="9"/>
      <c r="M117" s="9"/>
      <c r="N117" s="15"/>
      <c r="O117" s="9"/>
      <c r="P117" s="9"/>
      <c r="Q117" s="9"/>
      <c r="R117" s="9"/>
    </row>
    <row r="118" spans="1:18">
      <c r="A118" s="64"/>
      <c r="B118" s="64"/>
      <c r="D118" s="9"/>
      <c r="E118" s="9"/>
      <c r="F118" s="9"/>
      <c r="G118" s="9"/>
      <c r="H118" s="9"/>
      <c r="I118" s="9"/>
      <c r="J118" s="9"/>
      <c r="K118" s="9"/>
      <c r="L118" s="9"/>
      <c r="M118" s="9"/>
      <c r="N118" s="15"/>
      <c r="O118" s="9"/>
      <c r="P118" s="9"/>
      <c r="Q118" s="9"/>
      <c r="R118" s="9"/>
    </row>
    <row r="119" spans="1:18">
      <c r="A119" s="59" t="s">
        <v>15</v>
      </c>
      <c r="B119" s="31" t="s">
        <v>16</v>
      </c>
      <c r="C119" s="60" t="s">
        <v>17</v>
      </c>
      <c r="D119" s="31" t="s">
        <v>18</v>
      </c>
      <c r="E119" s="31" t="s">
        <v>19</v>
      </c>
      <c r="F119" s="31" t="s">
        <v>20</v>
      </c>
      <c r="G119" s="31" t="s">
        <v>21</v>
      </c>
      <c r="H119" s="31" t="s">
        <v>22</v>
      </c>
      <c r="I119" s="31" t="s">
        <v>23</v>
      </c>
      <c r="J119" s="31" t="s">
        <v>24</v>
      </c>
      <c r="K119" s="31" t="s">
        <v>25</v>
      </c>
      <c r="L119" s="31" t="s">
        <v>26</v>
      </c>
      <c r="M119" s="31" t="s">
        <v>27</v>
      </c>
      <c r="N119" s="31" t="s">
        <v>28</v>
      </c>
      <c r="O119" s="31" t="s">
        <v>29</v>
      </c>
      <c r="P119" s="31" t="s">
        <v>30</v>
      </c>
      <c r="Q119" s="31" t="s">
        <v>31</v>
      </c>
      <c r="R119" s="31" t="s">
        <v>32</v>
      </c>
    </row>
    <row r="120" spans="1:18">
      <c r="A120" s="61">
        <v>1778050520214</v>
      </c>
      <c r="B120" s="34">
        <v>35</v>
      </c>
      <c r="C120" s="6" t="s">
        <v>33</v>
      </c>
      <c r="D120" s="34">
        <v>200</v>
      </c>
      <c r="E120" s="34" t="s">
        <v>34</v>
      </c>
      <c r="F120" s="34" t="s">
        <v>35</v>
      </c>
      <c r="G120" s="34" t="s">
        <v>36</v>
      </c>
      <c r="H120" s="34" t="b">
        <v>1</v>
      </c>
      <c r="I120" s="34"/>
      <c r="J120" s="34">
        <v>290</v>
      </c>
      <c r="K120" s="34">
        <v>457</v>
      </c>
      <c r="L120" s="34">
        <v>1</v>
      </c>
      <c r="M120" s="34">
        <v>1</v>
      </c>
      <c r="N120" s="6" t="s">
        <v>37</v>
      </c>
      <c r="O120" s="34">
        <v>35</v>
      </c>
      <c r="P120" s="34">
        <v>0</v>
      </c>
      <c r="Q120" s="34">
        <v>4</v>
      </c>
      <c r="R120" s="61"/>
    </row>
    <row r="121" spans="1:18">
      <c r="A121" s="61">
        <v>1778050520251</v>
      </c>
      <c r="B121" s="34">
        <v>18</v>
      </c>
      <c r="C121" s="6" t="s">
        <v>38</v>
      </c>
      <c r="D121" s="34">
        <v>200</v>
      </c>
      <c r="E121" s="34" t="s">
        <v>34</v>
      </c>
      <c r="F121" s="34" t="s">
        <v>35</v>
      </c>
      <c r="G121" s="34" t="s">
        <v>36</v>
      </c>
      <c r="H121" s="34" t="b">
        <v>1</v>
      </c>
      <c r="I121" s="34"/>
      <c r="J121" s="34">
        <v>4078</v>
      </c>
      <c r="K121" s="34">
        <v>344</v>
      </c>
      <c r="L121" s="34">
        <v>1</v>
      </c>
      <c r="M121" s="34">
        <v>1</v>
      </c>
      <c r="N121" s="6" t="s">
        <v>37</v>
      </c>
      <c r="O121" s="34">
        <v>18</v>
      </c>
      <c r="P121" s="34">
        <v>0</v>
      </c>
      <c r="Q121" s="34">
        <v>0</v>
      </c>
      <c r="R121" s="61"/>
    </row>
    <row r="122" spans="1:18">
      <c r="A122" s="61">
        <v>1778050520421</v>
      </c>
      <c r="B122" s="34">
        <v>1575</v>
      </c>
      <c r="C122" s="6" t="s">
        <v>39</v>
      </c>
      <c r="D122" s="34" t="s">
        <v>72</v>
      </c>
      <c r="E122" s="34" t="s">
        <v>73</v>
      </c>
      <c r="F122" s="34" t="s">
        <v>35</v>
      </c>
      <c r="G122" s="34" t="s">
        <v>36</v>
      </c>
      <c r="H122" s="34" t="b">
        <v>0</v>
      </c>
      <c r="I122" s="34"/>
      <c r="J122" s="34">
        <v>2496</v>
      </c>
      <c r="K122" s="34">
        <v>0</v>
      </c>
      <c r="L122" s="34">
        <v>1</v>
      </c>
      <c r="M122" s="34">
        <v>1</v>
      </c>
      <c r="N122" s="6" t="s">
        <v>37</v>
      </c>
      <c r="O122" s="34">
        <v>0</v>
      </c>
      <c r="P122" s="34">
        <v>0</v>
      </c>
      <c r="Q122" s="34">
        <v>0</v>
      </c>
      <c r="R122" s="61"/>
    </row>
    <row r="123" spans="1:18" ht="15" thickBot="1">
      <c r="A123" s="62">
        <v>1778050521998</v>
      </c>
      <c r="B123" s="39">
        <v>2</v>
      </c>
      <c r="C123" s="63" t="s">
        <v>40</v>
      </c>
      <c r="D123" s="39" t="s">
        <v>74</v>
      </c>
      <c r="E123" s="39" t="s">
        <v>75</v>
      </c>
      <c r="F123" s="39" t="s">
        <v>35</v>
      </c>
      <c r="G123" s="39" t="s">
        <v>36</v>
      </c>
      <c r="H123" s="39" t="b">
        <v>0</v>
      </c>
      <c r="I123" s="39"/>
      <c r="J123" s="39">
        <v>2825</v>
      </c>
      <c r="K123" s="39">
        <v>0</v>
      </c>
      <c r="L123" s="39">
        <v>1</v>
      </c>
      <c r="M123" s="39">
        <v>1</v>
      </c>
      <c r="N123" s="63" t="s">
        <v>37</v>
      </c>
      <c r="O123" s="39">
        <v>0</v>
      </c>
      <c r="P123" s="39">
        <v>0</v>
      </c>
      <c r="Q123" s="39">
        <v>2</v>
      </c>
      <c r="R123" s="62"/>
    </row>
    <row r="125" spans="1:18">
      <c r="A125" s="169" t="s">
        <v>79</v>
      </c>
      <c r="B125" s="169"/>
      <c r="C125" s="22" t="s">
        <v>80</v>
      </c>
      <c r="D125" s="24"/>
      <c r="E125" s="9"/>
      <c r="F125" s="9"/>
      <c r="G125" s="9"/>
      <c r="H125" s="9"/>
      <c r="I125" s="9"/>
      <c r="J125" s="9"/>
      <c r="K125" s="9"/>
      <c r="L125" s="9"/>
      <c r="M125" s="9"/>
      <c r="N125" s="15"/>
      <c r="O125" s="9"/>
      <c r="P125" s="9"/>
      <c r="Q125" s="9"/>
      <c r="R125" s="9"/>
    </row>
    <row r="126" spans="1:18">
      <c r="A126" s="168" t="s">
        <v>13</v>
      </c>
      <c r="B126" s="168"/>
      <c r="C126" s="58" t="s">
        <v>180</v>
      </c>
      <c r="D126" s="24"/>
      <c r="E126" s="9"/>
      <c r="F126" s="9"/>
      <c r="G126" s="9"/>
      <c r="H126" s="9"/>
      <c r="I126" s="9"/>
      <c r="J126" s="9"/>
      <c r="K126" s="9"/>
      <c r="L126" s="9"/>
      <c r="M126" s="9"/>
      <c r="N126" s="15"/>
      <c r="O126" s="9"/>
      <c r="P126" s="9"/>
      <c r="Q126" s="9"/>
      <c r="R126" s="9"/>
    </row>
    <row r="127" spans="1:18">
      <c r="A127" s="64"/>
      <c r="B127" s="64"/>
      <c r="D127" s="9"/>
      <c r="E127" s="9"/>
      <c r="F127" s="9"/>
      <c r="G127" s="9"/>
      <c r="H127" s="9"/>
      <c r="I127" s="9"/>
      <c r="J127" s="9"/>
      <c r="K127" s="9"/>
      <c r="L127" s="9"/>
      <c r="M127" s="9"/>
      <c r="N127" s="15"/>
      <c r="O127" s="9"/>
      <c r="P127" s="9"/>
      <c r="Q127" s="9"/>
      <c r="R127" s="9"/>
    </row>
    <row r="128" spans="1:18">
      <c r="A128" s="59" t="s">
        <v>15</v>
      </c>
      <c r="B128" s="31" t="s">
        <v>16</v>
      </c>
      <c r="C128" s="60" t="s">
        <v>17</v>
      </c>
      <c r="D128" s="31" t="s">
        <v>18</v>
      </c>
      <c r="E128" s="31" t="s">
        <v>19</v>
      </c>
      <c r="F128" s="31" t="s">
        <v>20</v>
      </c>
      <c r="G128" s="31" t="s">
        <v>21</v>
      </c>
      <c r="H128" s="31" t="s">
        <v>22</v>
      </c>
      <c r="I128" s="31" t="s">
        <v>23</v>
      </c>
      <c r="J128" s="31" t="s">
        <v>24</v>
      </c>
      <c r="K128" s="31" t="s">
        <v>25</v>
      </c>
      <c r="L128" s="31" t="s">
        <v>26</v>
      </c>
      <c r="M128" s="31" t="s">
        <v>27</v>
      </c>
      <c r="N128" s="31" t="s">
        <v>28</v>
      </c>
      <c r="O128" s="31" t="s">
        <v>29</v>
      </c>
      <c r="P128" s="31" t="s">
        <v>30</v>
      </c>
      <c r="Q128" s="31" t="s">
        <v>31</v>
      </c>
      <c r="R128" s="31" t="s">
        <v>32</v>
      </c>
    </row>
    <row r="129" spans="1:18">
      <c r="A129" s="61">
        <v>1778051020353</v>
      </c>
      <c r="B129" s="34">
        <v>1291336</v>
      </c>
      <c r="C129" s="6" t="s">
        <v>33</v>
      </c>
      <c r="D129" s="34">
        <v>200</v>
      </c>
      <c r="E129" s="34" t="s">
        <v>34</v>
      </c>
      <c r="F129" s="34" t="s">
        <v>35</v>
      </c>
      <c r="G129" s="34" t="s">
        <v>36</v>
      </c>
      <c r="H129" s="34" t="b">
        <v>1</v>
      </c>
      <c r="I129" s="34"/>
      <c r="J129" s="34">
        <v>207</v>
      </c>
      <c r="K129" s="34">
        <v>459</v>
      </c>
      <c r="L129" s="34">
        <v>1</v>
      </c>
      <c r="M129" s="34">
        <v>1</v>
      </c>
      <c r="N129" s="6" t="s">
        <v>37</v>
      </c>
      <c r="O129" s="34">
        <v>1291336</v>
      </c>
      <c r="P129" s="34">
        <v>0</v>
      </c>
      <c r="Q129" s="34">
        <v>2</v>
      </c>
      <c r="R129" s="61"/>
    </row>
    <row r="130" spans="1:18">
      <c r="A130" s="61">
        <v>1778052311691</v>
      </c>
      <c r="B130" s="34">
        <v>23</v>
      </c>
      <c r="C130" s="6" t="s">
        <v>38</v>
      </c>
      <c r="D130" s="34">
        <v>200</v>
      </c>
      <c r="E130" s="34" t="s">
        <v>34</v>
      </c>
      <c r="F130" s="34" t="s">
        <v>35</v>
      </c>
      <c r="G130" s="34" t="s">
        <v>36</v>
      </c>
      <c r="H130" s="34" t="b">
        <v>1</v>
      </c>
      <c r="I130" s="34"/>
      <c r="J130" s="34">
        <v>4469</v>
      </c>
      <c r="K130" s="34">
        <v>344</v>
      </c>
      <c r="L130" s="34">
        <v>1</v>
      </c>
      <c r="M130" s="34">
        <v>1</v>
      </c>
      <c r="N130" s="6" t="s">
        <v>37</v>
      </c>
      <c r="O130" s="34">
        <v>23</v>
      </c>
      <c r="P130" s="34">
        <v>0</v>
      </c>
      <c r="Q130" s="34">
        <v>2</v>
      </c>
      <c r="R130" s="61"/>
    </row>
    <row r="131" spans="1:18">
      <c r="A131" s="61">
        <v>1778052311899</v>
      </c>
      <c r="B131" s="34">
        <v>71</v>
      </c>
      <c r="C131" s="6" t="s">
        <v>39</v>
      </c>
      <c r="D131" s="34">
        <v>200</v>
      </c>
      <c r="E131" s="34" t="s">
        <v>34</v>
      </c>
      <c r="F131" s="34" t="s">
        <v>35</v>
      </c>
      <c r="G131" s="34" t="s">
        <v>36</v>
      </c>
      <c r="H131" s="34" t="b">
        <v>1</v>
      </c>
      <c r="I131" s="34"/>
      <c r="J131" s="34">
        <v>41169</v>
      </c>
      <c r="K131" s="34">
        <v>387</v>
      </c>
      <c r="L131" s="34">
        <v>1</v>
      </c>
      <c r="M131" s="34">
        <v>1</v>
      </c>
      <c r="N131" s="6" t="s">
        <v>37</v>
      </c>
      <c r="O131" s="34">
        <v>71</v>
      </c>
      <c r="P131" s="34">
        <v>0</v>
      </c>
      <c r="Q131" s="34">
        <v>0</v>
      </c>
      <c r="R131" s="61"/>
    </row>
    <row r="132" spans="1:18" ht="15" thickBot="1">
      <c r="A132" s="62">
        <v>1778052311971</v>
      </c>
      <c r="B132" s="39">
        <v>14</v>
      </c>
      <c r="C132" s="63" t="s">
        <v>40</v>
      </c>
      <c r="D132" s="39">
        <v>200</v>
      </c>
      <c r="E132" s="39" t="s">
        <v>34</v>
      </c>
      <c r="F132" s="39" t="s">
        <v>35</v>
      </c>
      <c r="G132" s="39" t="s">
        <v>36</v>
      </c>
      <c r="H132" s="39" t="b">
        <v>1</v>
      </c>
      <c r="I132" s="39"/>
      <c r="J132" s="39">
        <v>676</v>
      </c>
      <c r="K132" s="39">
        <v>372</v>
      </c>
      <c r="L132" s="39">
        <v>1</v>
      </c>
      <c r="M132" s="39">
        <v>1</v>
      </c>
      <c r="N132" s="63" t="s">
        <v>37</v>
      </c>
      <c r="O132" s="39">
        <v>14</v>
      </c>
      <c r="P132" s="39">
        <v>0</v>
      </c>
      <c r="Q132" s="39">
        <v>0</v>
      </c>
      <c r="R132" s="62"/>
    </row>
    <row r="134" spans="1:18">
      <c r="A134" s="169" t="s">
        <v>82</v>
      </c>
      <c r="B134" s="169"/>
      <c r="C134" s="22" t="s">
        <v>83</v>
      </c>
      <c r="D134" s="24"/>
      <c r="E134" s="9"/>
      <c r="F134" s="9"/>
      <c r="G134" s="9"/>
      <c r="H134" s="9"/>
      <c r="I134" s="9"/>
      <c r="J134" s="9"/>
      <c r="K134" s="9"/>
      <c r="L134" s="9"/>
      <c r="M134" s="9"/>
      <c r="N134" s="15"/>
      <c r="O134" s="9"/>
      <c r="P134" s="9"/>
      <c r="Q134" s="9"/>
      <c r="R134" s="9"/>
    </row>
    <row r="135" spans="1:18">
      <c r="A135" s="168" t="s">
        <v>13</v>
      </c>
      <c r="B135" s="168"/>
      <c r="C135" s="58" t="s">
        <v>181</v>
      </c>
      <c r="D135" s="24"/>
      <c r="E135" s="9"/>
      <c r="F135" s="9"/>
      <c r="G135" s="9"/>
      <c r="H135" s="9"/>
      <c r="I135" s="9"/>
      <c r="J135" s="9"/>
      <c r="K135" s="9"/>
      <c r="L135" s="9"/>
      <c r="M135" s="9"/>
      <c r="N135" s="15"/>
      <c r="O135" s="9"/>
      <c r="P135" s="9"/>
      <c r="Q135" s="9"/>
      <c r="R135" s="9"/>
    </row>
    <row r="136" spans="1:18">
      <c r="A136" s="64"/>
      <c r="B136" s="64"/>
      <c r="D136" s="9"/>
      <c r="E136" s="9"/>
      <c r="F136" s="9"/>
      <c r="G136" s="9"/>
      <c r="H136" s="9"/>
      <c r="I136" s="9"/>
      <c r="J136" s="9"/>
      <c r="K136" s="9"/>
      <c r="L136" s="9"/>
      <c r="M136" s="9"/>
      <c r="N136" s="15"/>
      <c r="O136" s="9"/>
      <c r="P136" s="9"/>
      <c r="Q136" s="9"/>
      <c r="R136" s="9"/>
    </row>
    <row r="137" spans="1:18">
      <c r="A137" s="59" t="s">
        <v>15</v>
      </c>
      <c r="B137" s="31" t="s">
        <v>16</v>
      </c>
      <c r="C137" s="60" t="s">
        <v>17</v>
      </c>
      <c r="D137" s="31" t="s">
        <v>18</v>
      </c>
      <c r="E137" s="31" t="s">
        <v>19</v>
      </c>
      <c r="F137" s="31" t="s">
        <v>20</v>
      </c>
      <c r="G137" s="31" t="s">
        <v>21</v>
      </c>
      <c r="H137" s="31" t="s">
        <v>22</v>
      </c>
      <c r="I137" s="31" t="s">
        <v>23</v>
      </c>
      <c r="J137" s="31" t="s">
        <v>24</v>
      </c>
      <c r="K137" s="31" t="s">
        <v>25</v>
      </c>
      <c r="L137" s="31" t="s">
        <v>26</v>
      </c>
      <c r="M137" s="31" t="s">
        <v>27</v>
      </c>
      <c r="N137" s="31" t="s">
        <v>28</v>
      </c>
      <c r="O137" s="31" t="s">
        <v>29</v>
      </c>
      <c r="P137" s="31" t="s">
        <v>30</v>
      </c>
      <c r="Q137" s="31" t="s">
        <v>31</v>
      </c>
      <c r="R137" s="31" t="s">
        <v>32</v>
      </c>
    </row>
    <row r="138" spans="1:18">
      <c r="A138" s="61">
        <v>1778052654378</v>
      </c>
      <c r="B138" s="34">
        <v>3537574</v>
      </c>
      <c r="C138" s="6" t="s">
        <v>33</v>
      </c>
      <c r="D138" s="34">
        <v>200</v>
      </c>
      <c r="E138" s="34" t="s">
        <v>34</v>
      </c>
      <c r="F138" s="34" t="s">
        <v>35</v>
      </c>
      <c r="G138" s="34" t="s">
        <v>36</v>
      </c>
      <c r="H138" s="34" t="b">
        <v>1</v>
      </c>
      <c r="I138" s="34"/>
      <c r="J138" s="34">
        <v>207</v>
      </c>
      <c r="K138" s="34">
        <v>470</v>
      </c>
      <c r="L138" s="34">
        <v>1</v>
      </c>
      <c r="M138" s="34">
        <v>1</v>
      </c>
      <c r="N138" s="6" t="s">
        <v>37</v>
      </c>
      <c r="O138" s="34">
        <v>3537573</v>
      </c>
      <c r="P138" s="34">
        <v>0</v>
      </c>
      <c r="Q138" s="34">
        <v>3</v>
      </c>
      <c r="R138" s="61"/>
    </row>
    <row r="139" spans="1:18">
      <c r="A139" s="61">
        <v>1778056191955</v>
      </c>
      <c r="B139" s="34">
        <v>26</v>
      </c>
      <c r="C139" s="6" t="s">
        <v>38</v>
      </c>
      <c r="D139" s="34">
        <v>200</v>
      </c>
      <c r="E139" s="34" t="s">
        <v>34</v>
      </c>
      <c r="F139" s="34" t="s">
        <v>35</v>
      </c>
      <c r="G139" s="34" t="s">
        <v>36</v>
      </c>
      <c r="H139" s="34" t="b">
        <v>1</v>
      </c>
      <c r="I139" s="34"/>
      <c r="J139" s="34">
        <v>4882</v>
      </c>
      <c r="K139" s="34">
        <v>344</v>
      </c>
      <c r="L139" s="34">
        <v>1</v>
      </c>
      <c r="M139" s="34">
        <v>1</v>
      </c>
      <c r="N139" s="6" t="s">
        <v>37</v>
      </c>
      <c r="O139" s="34">
        <v>26</v>
      </c>
      <c r="P139" s="34">
        <v>0</v>
      </c>
      <c r="Q139" s="34">
        <v>2</v>
      </c>
      <c r="R139" s="61"/>
    </row>
    <row r="140" spans="1:18">
      <c r="A140" s="61">
        <v>1778056192100</v>
      </c>
      <c r="B140" s="34">
        <v>149</v>
      </c>
      <c r="C140" s="6" t="s">
        <v>39</v>
      </c>
      <c r="D140" s="34">
        <v>200</v>
      </c>
      <c r="E140" s="34" t="s">
        <v>34</v>
      </c>
      <c r="F140" s="34" t="s">
        <v>35</v>
      </c>
      <c r="G140" s="34" t="s">
        <v>36</v>
      </c>
      <c r="H140" s="34" t="b">
        <v>1</v>
      </c>
      <c r="I140" s="34"/>
      <c r="J140" s="34">
        <v>126228</v>
      </c>
      <c r="K140" s="34">
        <v>387</v>
      </c>
      <c r="L140" s="34">
        <v>1</v>
      </c>
      <c r="M140" s="34">
        <v>1</v>
      </c>
      <c r="N140" s="6" t="s">
        <v>37</v>
      </c>
      <c r="O140" s="34">
        <v>149</v>
      </c>
      <c r="P140" s="34">
        <v>0</v>
      </c>
      <c r="Q140" s="34">
        <v>0</v>
      </c>
      <c r="R140" s="61"/>
    </row>
    <row r="141" spans="1:18" ht="15" thickBot="1">
      <c r="A141" s="62">
        <v>1778056192250</v>
      </c>
      <c r="B141" s="39">
        <v>12</v>
      </c>
      <c r="C141" s="63" t="s">
        <v>40</v>
      </c>
      <c r="D141" s="39">
        <v>200</v>
      </c>
      <c r="E141" s="39" t="s">
        <v>34</v>
      </c>
      <c r="F141" s="39" t="s">
        <v>35</v>
      </c>
      <c r="G141" s="39" t="s">
        <v>36</v>
      </c>
      <c r="H141" s="39" t="b">
        <v>1</v>
      </c>
      <c r="I141" s="39"/>
      <c r="J141" s="39">
        <v>676</v>
      </c>
      <c r="K141" s="39">
        <v>373</v>
      </c>
      <c r="L141" s="39">
        <v>1</v>
      </c>
      <c r="M141" s="39">
        <v>1</v>
      </c>
      <c r="N141" s="63" t="s">
        <v>37</v>
      </c>
      <c r="O141" s="39">
        <v>12</v>
      </c>
      <c r="P141" s="39">
        <v>0</v>
      </c>
      <c r="Q141" s="39">
        <v>0</v>
      </c>
      <c r="R141" s="62"/>
    </row>
    <row r="143" spans="1:18">
      <c r="A143" s="169" t="s">
        <v>85</v>
      </c>
      <c r="B143" s="169"/>
      <c r="C143" s="22" t="s">
        <v>86</v>
      </c>
      <c r="D143" s="24"/>
      <c r="E143" s="9"/>
      <c r="F143" s="9"/>
      <c r="G143" s="9"/>
      <c r="H143" s="9"/>
      <c r="I143" s="9"/>
      <c r="J143" s="9"/>
      <c r="K143" s="9"/>
      <c r="L143" s="9"/>
      <c r="M143" s="9"/>
      <c r="N143" s="15"/>
      <c r="O143" s="9"/>
      <c r="P143" s="9"/>
      <c r="Q143" s="9"/>
      <c r="R143" s="9"/>
    </row>
    <row r="144" spans="1:18">
      <c r="A144" s="168" t="s">
        <v>13</v>
      </c>
      <c r="B144" s="168"/>
      <c r="C144" s="58" t="s">
        <v>182</v>
      </c>
      <c r="D144" s="24"/>
      <c r="E144" s="9"/>
      <c r="F144" s="9"/>
      <c r="G144" s="9"/>
      <c r="H144" s="9"/>
      <c r="I144" s="9"/>
      <c r="J144" s="9"/>
      <c r="K144" s="9"/>
      <c r="L144" s="9"/>
      <c r="M144" s="9"/>
      <c r="N144" s="15"/>
      <c r="O144" s="9"/>
      <c r="P144" s="9"/>
      <c r="Q144" s="9"/>
      <c r="R144" s="9"/>
    </row>
    <row r="145" spans="1:18">
      <c r="A145" s="64"/>
      <c r="B145" s="64"/>
      <c r="D145" s="9"/>
      <c r="E145" s="9"/>
      <c r="F145" s="9"/>
      <c r="G145" s="9"/>
      <c r="H145" s="9"/>
      <c r="I145" s="9"/>
      <c r="J145" s="9"/>
      <c r="K145" s="9"/>
      <c r="L145" s="9"/>
      <c r="M145" s="9"/>
      <c r="N145" s="15"/>
      <c r="O145" s="9"/>
      <c r="P145" s="9"/>
      <c r="Q145" s="9"/>
      <c r="R145" s="9"/>
    </row>
    <row r="146" spans="1:18">
      <c r="A146" s="59" t="s">
        <v>15</v>
      </c>
      <c r="B146" s="31" t="s">
        <v>16</v>
      </c>
      <c r="C146" s="60" t="s">
        <v>17</v>
      </c>
      <c r="D146" s="31" t="s">
        <v>18</v>
      </c>
      <c r="E146" s="31" t="s">
        <v>19</v>
      </c>
      <c r="F146" s="31" t="s">
        <v>20</v>
      </c>
      <c r="G146" s="31" t="s">
        <v>21</v>
      </c>
      <c r="H146" s="31" t="s">
        <v>22</v>
      </c>
      <c r="I146" s="31" t="s">
        <v>23</v>
      </c>
      <c r="J146" s="31" t="s">
        <v>24</v>
      </c>
      <c r="K146" s="31" t="s">
        <v>25</v>
      </c>
      <c r="L146" s="31" t="s">
        <v>26</v>
      </c>
      <c r="M146" s="31" t="s">
        <v>27</v>
      </c>
      <c r="N146" s="31" t="s">
        <v>28</v>
      </c>
      <c r="O146" s="31" t="s">
        <v>29</v>
      </c>
      <c r="P146" s="31" t="s">
        <v>30</v>
      </c>
      <c r="Q146" s="31" t="s">
        <v>31</v>
      </c>
      <c r="R146" s="31" t="s">
        <v>32</v>
      </c>
    </row>
    <row r="147" spans="1:18">
      <c r="A147" s="61">
        <v>1778056725138</v>
      </c>
      <c r="B147" s="34">
        <v>353286</v>
      </c>
      <c r="C147" s="6" t="s">
        <v>33</v>
      </c>
      <c r="D147" s="34">
        <v>200</v>
      </c>
      <c r="E147" s="34" t="s">
        <v>34</v>
      </c>
      <c r="F147" s="34" t="s">
        <v>35</v>
      </c>
      <c r="G147" s="34" t="s">
        <v>36</v>
      </c>
      <c r="H147" s="34" t="b">
        <v>1</v>
      </c>
      <c r="I147" s="34"/>
      <c r="J147" s="34">
        <v>207</v>
      </c>
      <c r="K147" s="34">
        <v>470</v>
      </c>
      <c r="L147" s="34">
        <v>1</v>
      </c>
      <c r="M147" s="34">
        <v>1</v>
      </c>
      <c r="N147" s="6" t="s">
        <v>37</v>
      </c>
      <c r="O147" s="34">
        <v>353285</v>
      </c>
      <c r="P147" s="34">
        <v>0</v>
      </c>
      <c r="Q147" s="34">
        <v>4</v>
      </c>
      <c r="R147" s="61"/>
    </row>
    <row r="148" spans="1:18">
      <c r="A148" s="61">
        <v>1778057078426</v>
      </c>
      <c r="B148" s="34">
        <v>25</v>
      </c>
      <c r="C148" s="6" t="s">
        <v>38</v>
      </c>
      <c r="D148" s="34">
        <v>200</v>
      </c>
      <c r="E148" s="34" t="s">
        <v>34</v>
      </c>
      <c r="F148" s="34" t="s">
        <v>35</v>
      </c>
      <c r="G148" s="34" t="s">
        <v>36</v>
      </c>
      <c r="H148" s="34" t="b">
        <v>1</v>
      </c>
      <c r="I148" s="34"/>
      <c r="J148" s="34">
        <v>5294</v>
      </c>
      <c r="K148" s="34">
        <v>344</v>
      </c>
      <c r="L148" s="34">
        <v>1</v>
      </c>
      <c r="M148" s="34">
        <v>1</v>
      </c>
      <c r="N148" s="6" t="s">
        <v>37</v>
      </c>
      <c r="O148" s="34">
        <v>25</v>
      </c>
      <c r="P148" s="34">
        <v>0</v>
      </c>
      <c r="Q148" s="34">
        <v>3</v>
      </c>
      <c r="R148" s="61"/>
    </row>
    <row r="149" spans="1:18">
      <c r="A149" s="61">
        <v>1778057078575</v>
      </c>
      <c r="B149" s="34">
        <v>20</v>
      </c>
      <c r="C149" s="6" t="s">
        <v>39</v>
      </c>
      <c r="D149" s="34">
        <v>200</v>
      </c>
      <c r="E149" s="34" t="s">
        <v>34</v>
      </c>
      <c r="F149" s="34" t="s">
        <v>35</v>
      </c>
      <c r="G149" s="34" t="s">
        <v>36</v>
      </c>
      <c r="H149" s="34" t="b">
        <v>1</v>
      </c>
      <c r="I149" s="34"/>
      <c r="J149" s="34">
        <v>12539</v>
      </c>
      <c r="K149" s="34">
        <v>387</v>
      </c>
      <c r="L149" s="34">
        <v>1</v>
      </c>
      <c r="M149" s="34">
        <v>1</v>
      </c>
      <c r="N149" s="6" t="s">
        <v>37</v>
      </c>
      <c r="O149" s="34">
        <v>20</v>
      </c>
      <c r="P149" s="34">
        <v>0</v>
      </c>
      <c r="Q149" s="34">
        <v>0</v>
      </c>
      <c r="R149" s="61"/>
    </row>
    <row r="150" spans="1:18" ht="15" thickBot="1">
      <c r="A150" s="62">
        <v>1778057078596</v>
      </c>
      <c r="B150" s="39">
        <v>14</v>
      </c>
      <c r="C150" s="63" t="s">
        <v>40</v>
      </c>
      <c r="D150" s="39">
        <v>200</v>
      </c>
      <c r="E150" s="39" t="s">
        <v>34</v>
      </c>
      <c r="F150" s="39" t="s">
        <v>35</v>
      </c>
      <c r="G150" s="39" t="s">
        <v>36</v>
      </c>
      <c r="H150" s="39" t="b">
        <v>1</v>
      </c>
      <c r="I150" s="39"/>
      <c r="J150" s="39">
        <v>676</v>
      </c>
      <c r="K150" s="39">
        <v>372</v>
      </c>
      <c r="L150" s="39">
        <v>1</v>
      </c>
      <c r="M150" s="39">
        <v>1</v>
      </c>
      <c r="N150" s="63" t="s">
        <v>37</v>
      </c>
      <c r="O150" s="39">
        <v>13</v>
      </c>
      <c r="P150" s="39">
        <v>0</v>
      </c>
      <c r="Q150" s="39">
        <v>0</v>
      </c>
      <c r="R150" s="62"/>
    </row>
    <row r="152" spans="1:18">
      <c r="A152" s="169" t="s">
        <v>88</v>
      </c>
      <c r="B152" s="169"/>
      <c r="C152" s="22" t="s">
        <v>89</v>
      </c>
      <c r="D152" s="24"/>
      <c r="E152" s="9"/>
      <c r="F152" s="9"/>
      <c r="G152" s="9"/>
      <c r="H152" s="9"/>
      <c r="I152" s="9"/>
      <c r="J152" s="9"/>
      <c r="K152" s="9"/>
      <c r="L152" s="9"/>
      <c r="M152" s="9"/>
      <c r="N152" s="15"/>
      <c r="O152" s="9"/>
      <c r="P152" s="9"/>
      <c r="Q152" s="9"/>
      <c r="R152" s="9"/>
    </row>
    <row r="153" spans="1:18">
      <c r="A153" s="168" t="s">
        <v>13</v>
      </c>
      <c r="B153" s="168"/>
      <c r="C153" s="58" t="s">
        <v>183</v>
      </c>
      <c r="D153" s="24"/>
      <c r="E153" s="9"/>
      <c r="F153" s="9"/>
      <c r="G153" s="9"/>
      <c r="H153" s="9"/>
      <c r="I153" s="9"/>
      <c r="J153" s="9"/>
      <c r="K153" s="9"/>
      <c r="L153" s="9"/>
      <c r="M153" s="9"/>
      <c r="N153" s="15"/>
      <c r="O153" s="9"/>
      <c r="P153" s="9"/>
      <c r="Q153" s="9"/>
      <c r="R153" s="9"/>
    </row>
    <row r="154" spans="1:18">
      <c r="A154" s="64"/>
      <c r="B154" s="64"/>
      <c r="D154" s="9"/>
      <c r="E154" s="9"/>
      <c r="F154" s="9"/>
      <c r="G154" s="9"/>
      <c r="H154" s="9"/>
      <c r="I154" s="9"/>
      <c r="J154" s="9"/>
      <c r="K154" s="9"/>
      <c r="L154" s="9"/>
      <c r="M154" s="9"/>
      <c r="N154" s="15"/>
      <c r="O154" s="9"/>
      <c r="P154" s="9"/>
      <c r="Q154" s="9"/>
      <c r="R154" s="9"/>
    </row>
    <row r="155" spans="1:18">
      <c r="A155" s="59" t="s">
        <v>15</v>
      </c>
      <c r="B155" s="31" t="s">
        <v>16</v>
      </c>
      <c r="C155" s="60" t="s">
        <v>17</v>
      </c>
      <c r="D155" s="31" t="s">
        <v>18</v>
      </c>
      <c r="E155" s="31" t="s">
        <v>19</v>
      </c>
      <c r="F155" s="31" t="s">
        <v>20</v>
      </c>
      <c r="G155" s="31" t="s">
        <v>21</v>
      </c>
      <c r="H155" s="31" t="s">
        <v>22</v>
      </c>
      <c r="I155" s="31" t="s">
        <v>23</v>
      </c>
      <c r="J155" s="31" t="s">
        <v>24</v>
      </c>
      <c r="K155" s="31" t="s">
        <v>25</v>
      </c>
      <c r="L155" s="31" t="s">
        <v>26</v>
      </c>
      <c r="M155" s="31" t="s">
        <v>27</v>
      </c>
      <c r="N155" s="31" t="s">
        <v>28</v>
      </c>
      <c r="O155" s="31" t="s">
        <v>29</v>
      </c>
      <c r="P155" s="31" t="s">
        <v>30</v>
      </c>
      <c r="Q155" s="31" t="s">
        <v>31</v>
      </c>
      <c r="R155" s="31" t="s">
        <v>32</v>
      </c>
    </row>
    <row r="156" spans="1:18">
      <c r="A156" s="61">
        <v>1778057296380</v>
      </c>
      <c r="B156" s="34">
        <v>608689</v>
      </c>
      <c r="C156" s="6" t="s">
        <v>33</v>
      </c>
      <c r="D156" s="34">
        <v>200</v>
      </c>
      <c r="E156" s="34" t="s">
        <v>34</v>
      </c>
      <c r="F156" s="34" t="s">
        <v>35</v>
      </c>
      <c r="G156" s="34" t="s">
        <v>36</v>
      </c>
      <c r="H156" s="34" t="b">
        <v>1</v>
      </c>
      <c r="I156" s="34"/>
      <c r="J156" s="34">
        <v>207</v>
      </c>
      <c r="K156" s="34">
        <v>468</v>
      </c>
      <c r="L156" s="34">
        <v>1</v>
      </c>
      <c r="M156" s="34">
        <v>1</v>
      </c>
      <c r="N156" s="6" t="s">
        <v>37</v>
      </c>
      <c r="O156" s="34">
        <v>608688</v>
      </c>
      <c r="P156" s="34">
        <v>0</v>
      </c>
      <c r="Q156" s="34">
        <v>3</v>
      </c>
      <c r="R156" s="61"/>
    </row>
    <row r="157" spans="1:18">
      <c r="A157" s="61">
        <v>1778057905073</v>
      </c>
      <c r="B157" s="34">
        <v>30</v>
      </c>
      <c r="C157" s="6" t="s">
        <v>38</v>
      </c>
      <c r="D157" s="34">
        <v>200</v>
      </c>
      <c r="E157" s="34" t="s">
        <v>34</v>
      </c>
      <c r="F157" s="34" t="s">
        <v>35</v>
      </c>
      <c r="G157" s="34" t="s">
        <v>36</v>
      </c>
      <c r="H157" s="34" t="b">
        <v>1</v>
      </c>
      <c r="I157" s="34"/>
      <c r="J157" s="34">
        <v>5702</v>
      </c>
      <c r="K157" s="34">
        <v>344</v>
      </c>
      <c r="L157" s="34">
        <v>1</v>
      </c>
      <c r="M157" s="34">
        <v>1</v>
      </c>
      <c r="N157" s="6" t="s">
        <v>37</v>
      </c>
      <c r="O157" s="34">
        <v>30</v>
      </c>
      <c r="P157" s="34">
        <v>0</v>
      </c>
      <c r="Q157" s="34">
        <v>2</v>
      </c>
      <c r="R157" s="61"/>
    </row>
    <row r="158" spans="1:18">
      <c r="A158" s="61">
        <v>1778057905227</v>
      </c>
      <c r="B158" s="34">
        <v>20</v>
      </c>
      <c r="C158" s="6" t="s">
        <v>39</v>
      </c>
      <c r="D158" s="34">
        <v>200</v>
      </c>
      <c r="E158" s="34" t="s">
        <v>34</v>
      </c>
      <c r="F158" s="34" t="s">
        <v>35</v>
      </c>
      <c r="G158" s="34" t="s">
        <v>36</v>
      </c>
      <c r="H158" s="34" t="b">
        <v>1</v>
      </c>
      <c r="I158" s="34"/>
      <c r="J158" s="34">
        <v>20239</v>
      </c>
      <c r="K158" s="34">
        <v>387</v>
      </c>
      <c r="L158" s="34">
        <v>1</v>
      </c>
      <c r="M158" s="34">
        <v>1</v>
      </c>
      <c r="N158" s="6" t="s">
        <v>37</v>
      </c>
      <c r="O158" s="34">
        <v>19</v>
      </c>
      <c r="P158" s="34">
        <v>0</v>
      </c>
      <c r="Q158" s="34">
        <v>0</v>
      </c>
      <c r="R158" s="61"/>
    </row>
    <row r="159" spans="1:18" ht="15" thickBot="1">
      <c r="A159" s="62">
        <v>1778057905247</v>
      </c>
      <c r="B159" s="39">
        <v>13</v>
      </c>
      <c r="C159" s="63" t="s">
        <v>40</v>
      </c>
      <c r="D159" s="39">
        <v>200</v>
      </c>
      <c r="E159" s="39" t="s">
        <v>34</v>
      </c>
      <c r="F159" s="39" t="s">
        <v>35</v>
      </c>
      <c r="G159" s="39" t="s">
        <v>36</v>
      </c>
      <c r="H159" s="39" t="b">
        <v>1</v>
      </c>
      <c r="I159" s="39"/>
      <c r="J159" s="39">
        <v>1752</v>
      </c>
      <c r="K159" s="39">
        <v>372</v>
      </c>
      <c r="L159" s="39">
        <v>1</v>
      </c>
      <c r="M159" s="39">
        <v>1</v>
      </c>
      <c r="N159" s="63" t="s">
        <v>37</v>
      </c>
      <c r="O159" s="39">
        <v>13</v>
      </c>
      <c r="P159" s="39">
        <v>0</v>
      </c>
      <c r="Q159" s="39">
        <v>0</v>
      </c>
      <c r="R159" s="62"/>
    </row>
    <row r="161" spans="1:18">
      <c r="A161" s="169" t="s">
        <v>91</v>
      </c>
      <c r="B161" s="169"/>
      <c r="C161" s="22" t="s">
        <v>158</v>
      </c>
      <c r="D161" s="24"/>
      <c r="E161" s="9"/>
      <c r="F161" s="9"/>
      <c r="G161" s="9"/>
      <c r="H161" s="9"/>
      <c r="I161" s="9"/>
      <c r="J161" s="9"/>
      <c r="K161" s="9"/>
      <c r="L161" s="9"/>
      <c r="M161" s="9"/>
      <c r="N161" s="15"/>
      <c r="O161" s="9"/>
      <c r="P161" s="9"/>
      <c r="Q161" s="9"/>
      <c r="R161" s="9"/>
    </row>
    <row r="162" spans="1:18">
      <c r="A162" s="168" t="s">
        <v>13</v>
      </c>
      <c r="B162" s="168"/>
      <c r="C162" s="58" t="s">
        <v>184</v>
      </c>
      <c r="D162" s="24"/>
      <c r="E162" s="9"/>
      <c r="F162" s="9"/>
      <c r="G162" s="9"/>
      <c r="H162" s="9"/>
      <c r="I162" s="9"/>
      <c r="J162" s="9"/>
      <c r="K162" s="9"/>
      <c r="L162" s="9"/>
      <c r="M162" s="9"/>
      <c r="N162" s="15"/>
      <c r="O162" s="9"/>
      <c r="P162" s="9"/>
      <c r="Q162" s="9"/>
      <c r="R162" s="9"/>
    </row>
    <row r="163" spans="1:18">
      <c r="A163" s="64"/>
      <c r="B163" s="64"/>
      <c r="D163" s="9"/>
      <c r="E163" s="9"/>
      <c r="F163" s="9"/>
      <c r="G163" s="9"/>
      <c r="H163" s="9"/>
      <c r="I163" s="9"/>
      <c r="J163" s="9"/>
      <c r="K163" s="9"/>
      <c r="L163" s="9"/>
      <c r="M163" s="9"/>
      <c r="N163" s="15"/>
      <c r="O163" s="9"/>
      <c r="P163" s="9"/>
      <c r="Q163" s="9"/>
      <c r="R163" s="9"/>
    </row>
    <row r="164" spans="1:18">
      <c r="A164" s="59" t="s">
        <v>15</v>
      </c>
      <c r="B164" s="31" t="s">
        <v>16</v>
      </c>
      <c r="C164" s="60" t="s">
        <v>17</v>
      </c>
      <c r="D164" s="31" t="s">
        <v>18</v>
      </c>
      <c r="E164" s="31" t="s">
        <v>19</v>
      </c>
      <c r="F164" s="31" t="s">
        <v>20</v>
      </c>
      <c r="G164" s="31" t="s">
        <v>21</v>
      </c>
      <c r="H164" s="31" t="s">
        <v>22</v>
      </c>
      <c r="I164" s="31" t="s">
        <v>23</v>
      </c>
      <c r="J164" s="31" t="s">
        <v>24</v>
      </c>
      <c r="K164" s="31" t="s">
        <v>25</v>
      </c>
      <c r="L164" s="31" t="s">
        <v>26</v>
      </c>
      <c r="M164" s="31" t="s">
        <v>27</v>
      </c>
      <c r="N164" s="31" t="s">
        <v>28</v>
      </c>
      <c r="O164" s="31" t="s">
        <v>29</v>
      </c>
      <c r="P164" s="31" t="s">
        <v>30</v>
      </c>
      <c r="Q164" s="31" t="s">
        <v>31</v>
      </c>
      <c r="R164" s="31" t="s">
        <v>32</v>
      </c>
    </row>
    <row r="165" spans="1:18">
      <c r="A165" s="61">
        <v>1778058993119</v>
      </c>
      <c r="B165" s="34">
        <v>11581</v>
      </c>
      <c r="C165" s="6" t="s">
        <v>33</v>
      </c>
      <c r="D165" s="34">
        <v>200</v>
      </c>
      <c r="E165" s="34" t="s">
        <v>34</v>
      </c>
      <c r="F165" s="34" t="s">
        <v>35</v>
      </c>
      <c r="G165" s="34" t="s">
        <v>36</v>
      </c>
      <c r="H165" s="34" t="b">
        <v>1</v>
      </c>
      <c r="I165" s="34"/>
      <c r="J165" s="34">
        <v>207</v>
      </c>
      <c r="K165" s="34">
        <v>464</v>
      </c>
      <c r="L165" s="34">
        <v>1</v>
      </c>
      <c r="M165" s="34">
        <v>1</v>
      </c>
      <c r="N165" s="6" t="s">
        <v>37</v>
      </c>
      <c r="O165" s="34">
        <v>11581</v>
      </c>
      <c r="P165" s="34">
        <v>0</v>
      </c>
      <c r="Q165" s="34">
        <v>6</v>
      </c>
      <c r="R165" s="61"/>
    </row>
    <row r="166" spans="1:18">
      <c r="A166" s="61">
        <v>1778059004704</v>
      </c>
      <c r="B166" s="34">
        <v>24</v>
      </c>
      <c r="C166" s="6" t="s">
        <v>38</v>
      </c>
      <c r="D166" s="34">
        <v>200</v>
      </c>
      <c r="E166" s="34" t="s">
        <v>34</v>
      </c>
      <c r="F166" s="34" t="s">
        <v>35</v>
      </c>
      <c r="G166" s="34" t="s">
        <v>36</v>
      </c>
      <c r="H166" s="34" t="b">
        <v>1</v>
      </c>
      <c r="I166" s="34"/>
      <c r="J166" s="34">
        <v>6098</v>
      </c>
      <c r="K166" s="34">
        <v>344</v>
      </c>
      <c r="L166" s="34">
        <v>1</v>
      </c>
      <c r="M166" s="34">
        <v>1</v>
      </c>
      <c r="N166" s="6" t="s">
        <v>37</v>
      </c>
      <c r="O166" s="34">
        <v>24</v>
      </c>
      <c r="P166" s="34">
        <v>0</v>
      </c>
      <c r="Q166" s="34">
        <v>0</v>
      </c>
      <c r="R166" s="61"/>
    </row>
    <row r="167" spans="1:18">
      <c r="A167" s="61">
        <v>1778059004843</v>
      </c>
      <c r="B167" s="34">
        <v>14</v>
      </c>
      <c r="C167" s="6" t="s">
        <v>39</v>
      </c>
      <c r="D167" s="34">
        <v>200</v>
      </c>
      <c r="E167" s="34" t="s">
        <v>34</v>
      </c>
      <c r="F167" s="34" t="s">
        <v>35</v>
      </c>
      <c r="G167" s="34" t="s">
        <v>36</v>
      </c>
      <c r="H167" s="34" t="b">
        <v>1</v>
      </c>
      <c r="I167" s="34"/>
      <c r="J167" s="34">
        <v>220</v>
      </c>
      <c r="K167" s="34">
        <v>387</v>
      </c>
      <c r="L167" s="34">
        <v>1</v>
      </c>
      <c r="M167" s="34">
        <v>1</v>
      </c>
      <c r="N167" s="6" t="s">
        <v>37</v>
      </c>
      <c r="O167" s="34">
        <v>14</v>
      </c>
      <c r="P167" s="34">
        <v>0</v>
      </c>
      <c r="Q167" s="34">
        <v>0</v>
      </c>
      <c r="R167" s="61"/>
    </row>
    <row r="168" spans="1:18" ht="15" thickBot="1">
      <c r="A168" s="62">
        <v>1778059004858</v>
      </c>
      <c r="B168" s="39">
        <v>12</v>
      </c>
      <c r="C168" s="63" t="s">
        <v>40</v>
      </c>
      <c r="D168" s="39">
        <v>200</v>
      </c>
      <c r="E168" s="39" t="s">
        <v>34</v>
      </c>
      <c r="F168" s="39" t="s">
        <v>35</v>
      </c>
      <c r="G168" s="39" t="s">
        <v>36</v>
      </c>
      <c r="H168" s="39" t="b">
        <v>1</v>
      </c>
      <c r="I168" s="39"/>
      <c r="J168" s="39">
        <v>542</v>
      </c>
      <c r="K168" s="39">
        <v>369</v>
      </c>
      <c r="L168" s="39">
        <v>1</v>
      </c>
      <c r="M168" s="39">
        <v>1</v>
      </c>
      <c r="N168" s="63" t="s">
        <v>37</v>
      </c>
      <c r="O168" s="39">
        <v>12</v>
      </c>
      <c r="P168" s="39">
        <v>0</v>
      </c>
      <c r="Q168" s="39">
        <v>0</v>
      </c>
      <c r="R168" s="62"/>
    </row>
    <row r="170" spans="1:18">
      <c r="A170" s="169" t="s">
        <v>93</v>
      </c>
      <c r="B170" s="169"/>
      <c r="C170" s="22" t="s">
        <v>94</v>
      </c>
      <c r="D170" s="24"/>
      <c r="E170" s="9"/>
      <c r="F170" s="9"/>
      <c r="G170" s="9"/>
      <c r="H170" s="9"/>
      <c r="I170" s="9"/>
      <c r="J170" s="9"/>
      <c r="K170" s="9"/>
      <c r="L170" s="9"/>
      <c r="M170" s="9"/>
      <c r="N170" s="15"/>
      <c r="O170" s="9"/>
      <c r="P170" s="9"/>
      <c r="Q170" s="9"/>
      <c r="R170" s="9"/>
    </row>
    <row r="171" spans="1:18">
      <c r="A171" s="168" t="s">
        <v>13</v>
      </c>
      <c r="B171" s="168"/>
      <c r="C171" s="58" t="s">
        <v>185</v>
      </c>
      <c r="D171" s="24"/>
      <c r="E171" s="9"/>
      <c r="F171" s="9"/>
      <c r="G171" s="9"/>
      <c r="H171" s="9"/>
      <c r="I171" s="9"/>
      <c r="J171" s="9"/>
      <c r="K171" s="9"/>
      <c r="L171" s="9"/>
      <c r="M171" s="9"/>
      <c r="N171" s="15"/>
      <c r="O171" s="9"/>
      <c r="P171" s="9"/>
      <c r="Q171" s="9"/>
      <c r="R171" s="9"/>
    </row>
    <row r="172" spans="1:18">
      <c r="A172" s="64"/>
      <c r="B172" s="64"/>
      <c r="D172" s="9"/>
      <c r="E172" s="9"/>
      <c r="F172" s="9"/>
      <c r="G172" s="9"/>
      <c r="H172" s="9"/>
      <c r="I172" s="9"/>
      <c r="J172" s="9"/>
      <c r="K172" s="9"/>
      <c r="L172" s="9"/>
      <c r="M172" s="9"/>
      <c r="N172" s="15"/>
      <c r="O172" s="9"/>
      <c r="P172" s="9"/>
      <c r="Q172" s="9"/>
      <c r="R172" s="9"/>
    </row>
    <row r="173" spans="1:18">
      <c r="A173" s="59" t="s">
        <v>15</v>
      </c>
      <c r="B173" s="31" t="s">
        <v>16</v>
      </c>
      <c r="C173" s="60" t="s">
        <v>17</v>
      </c>
      <c r="D173" s="31" t="s">
        <v>18</v>
      </c>
      <c r="E173" s="31" t="s">
        <v>19</v>
      </c>
      <c r="F173" s="31" t="s">
        <v>20</v>
      </c>
      <c r="G173" s="31" t="s">
        <v>21</v>
      </c>
      <c r="H173" s="31" t="s">
        <v>22</v>
      </c>
      <c r="I173" s="31" t="s">
        <v>23</v>
      </c>
      <c r="J173" s="31" t="s">
        <v>24</v>
      </c>
      <c r="K173" s="31" t="s">
        <v>25</v>
      </c>
      <c r="L173" s="31" t="s">
        <v>26</v>
      </c>
      <c r="M173" s="31" t="s">
        <v>27</v>
      </c>
      <c r="N173" s="31" t="s">
        <v>28</v>
      </c>
      <c r="O173" s="31" t="s">
        <v>29</v>
      </c>
      <c r="P173" s="31" t="s">
        <v>30</v>
      </c>
      <c r="Q173" s="31" t="s">
        <v>31</v>
      </c>
      <c r="R173" s="31" t="s">
        <v>32</v>
      </c>
    </row>
    <row r="174" spans="1:18">
      <c r="A174" s="61">
        <v>1778059294223</v>
      </c>
      <c r="B174" s="34">
        <v>77851</v>
      </c>
      <c r="C174" s="6" t="s">
        <v>33</v>
      </c>
      <c r="D174" s="34">
        <v>200</v>
      </c>
      <c r="E174" s="34" t="s">
        <v>34</v>
      </c>
      <c r="F174" s="34" t="s">
        <v>35</v>
      </c>
      <c r="G174" s="34" t="s">
        <v>36</v>
      </c>
      <c r="H174" s="34" t="b">
        <v>1</v>
      </c>
      <c r="I174" s="34"/>
      <c r="J174" s="34">
        <v>207</v>
      </c>
      <c r="K174" s="34">
        <v>463</v>
      </c>
      <c r="L174" s="34">
        <v>1</v>
      </c>
      <c r="M174" s="34">
        <v>1</v>
      </c>
      <c r="N174" s="6" t="s">
        <v>37</v>
      </c>
      <c r="O174" s="34">
        <v>77851</v>
      </c>
      <c r="P174" s="34">
        <v>0</v>
      </c>
      <c r="Q174" s="34">
        <v>3</v>
      </c>
      <c r="R174" s="61"/>
    </row>
    <row r="175" spans="1:18">
      <c r="A175" s="61">
        <v>1778059372076</v>
      </c>
      <c r="B175" s="34">
        <v>30</v>
      </c>
      <c r="C175" s="6" t="s">
        <v>38</v>
      </c>
      <c r="D175" s="34">
        <v>200</v>
      </c>
      <c r="E175" s="34" t="s">
        <v>34</v>
      </c>
      <c r="F175" s="34" t="s">
        <v>35</v>
      </c>
      <c r="G175" s="34" t="s">
        <v>36</v>
      </c>
      <c r="H175" s="34" t="b">
        <v>1</v>
      </c>
      <c r="I175" s="34"/>
      <c r="J175" s="34">
        <v>6496</v>
      </c>
      <c r="K175" s="34">
        <v>344</v>
      </c>
      <c r="L175" s="34">
        <v>1</v>
      </c>
      <c r="M175" s="34">
        <v>1</v>
      </c>
      <c r="N175" s="6" t="s">
        <v>37</v>
      </c>
      <c r="O175" s="34">
        <v>29</v>
      </c>
      <c r="P175" s="34">
        <v>0</v>
      </c>
      <c r="Q175" s="34">
        <v>1</v>
      </c>
      <c r="R175" s="61"/>
    </row>
    <row r="176" spans="1:18">
      <c r="A176" s="61">
        <v>1778059372220</v>
      </c>
      <c r="B176" s="34">
        <v>16</v>
      </c>
      <c r="C176" s="6" t="s">
        <v>39</v>
      </c>
      <c r="D176" s="34">
        <v>200</v>
      </c>
      <c r="E176" s="34" t="s">
        <v>34</v>
      </c>
      <c r="F176" s="34" t="s">
        <v>35</v>
      </c>
      <c r="G176" s="34" t="s">
        <v>36</v>
      </c>
      <c r="H176" s="34" t="b">
        <v>1</v>
      </c>
      <c r="I176" s="34"/>
      <c r="J176" s="34">
        <v>6300</v>
      </c>
      <c r="K176" s="34">
        <v>387</v>
      </c>
      <c r="L176" s="34">
        <v>1</v>
      </c>
      <c r="M176" s="34">
        <v>1</v>
      </c>
      <c r="N176" s="6" t="s">
        <v>37</v>
      </c>
      <c r="O176" s="34">
        <v>15</v>
      </c>
      <c r="P176" s="34">
        <v>0</v>
      </c>
      <c r="Q176" s="34">
        <v>0</v>
      </c>
      <c r="R176" s="61"/>
    </row>
    <row r="177" spans="1:18" ht="15" thickBot="1">
      <c r="A177" s="62">
        <v>1778059372236</v>
      </c>
      <c r="B177" s="39">
        <v>14</v>
      </c>
      <c r="C177" s="63" t="s">
        <v>40</v>
      </c>
      <c r="D177" s="39">
        <v>200</v>
      </c>
      <c r="E177" s="39" t="s">
        <v>34</v>
      </c>
      <c r="F177" s="39" t="s">
        <v>35</v>
      </c>
      <c r="G177" s="39" t="s">
        <v>36</v>
      </c>
      <c r="H177" s="39" t="b">
        <v>1</v>
      </c>
      <c r="I177" s="39"/>
      <c r="J177" s="39">
        <v>676</v>
      </c>
      <c r="K177" s="39">
        <v>371</v>
      </c>
      <c r="L177" s="39">
        <v>1</v>
      </c>
      <c r="M177" s="39">
        <v>1</v>
      </c>
      <c r="N177" s="63" t="s">
        <v>37</v>
      </c>
      <c r="O177" s="39">
        <v>14</v>
      </c>
      <c r="P177" s="39">
        <v>0</v>
      </c>
      <c r="Q177" s="39">
        <v>0</v>
      </c>
      <c r="R177" s="62"/>
    </row>
    <row r="179" spans="1:18">
      <c r="A179" s="169" t="s">
        <v>96</v>
      </c>
      <c r="B179" s="169"/>
      <c r="C179" s="22" t="s">
        <v>186</v>
      </c>
      <c r="D179" s="24"/>
      <c r="E179" s="9"/>
      <c r="F179" s="9"/>
      <c r="G179" s="9"/>
      <c r="H179" s="9"/>
      <c r="I179" s="9"/>
      <c r="J179" s="9"/>
      <c r="K179" s="9"/>
      <c r="L179" s="9"/>
      <c r="M179" s="9"/>
      <c r="N179" s="15"/>
      <c r="O179" s="9"/>
      <c r="P179" s="9"/>
      <c r="Q179" s="9"/>
      <c r="R179" s="9"/>
    </row>
    <row r="180" spans="1:18">
      <c r="A180" s="168" t="s">
        <v>13</v>
      </c>
      <c r="B180" s="168"/>
      <c r="C180" s="58" t="s">
        <v>187</v>
      </c>
      <c r="D180" s="24"/>
      <c r="E180" s="9"/>
      <c r="F180" s="9"/>
      <c r="G180" s="9"/>
      <c r="H180" s="9"/>
      <c r="I180" s="9"/>
      <c r="J180" s="9"/>
      <c r="K180" s="9"/>
      <c r="L180" s="9"/>
      <c r="M180" s="9"/>
      <c r="N180" s="15"/>
      <c r="O180" s="9"/>
      <c r="P180" s="9"/>
      <c r="Q180" s="9"/>
      <c r="R180" s="9"/>
    </row>
    <row r="181" spans="1:18">
      <c r="A181" s="64"/>
      <c r="B181" s="64"/>
      <c r="D181" s="9"/>
      <c r="E181" s="9"/>
      <c r="F181" s="9"/>
      <c r="G181" s="9"/>
      <c r="H181" s="9"/>
      <c r="I181" s="9"/>
      <c r="J181" s="9"/>
      <c r="K181" s="9"/>
      <c r="L181" s="9"/>
      <c r="M181" s="9"/>
      <c r="N181" s="15"/>
      <c r="O181" s="9"/>
      <c r="P181" s="9"/>
      <c r="Q181" s="9"/>
      <c r="R181" s="9"/>
    </row>
    <row r="182" spans="1:18">
      <c r="A182" s="59" t="s">
        <v>15</v>
      </c>
      <c r="B182" s="31" t="s">
        <v>16</v>
      </c>
      <c r="C182" s="60" t="s">
        <v>17</v>
      </c>
      <c r="D182" s="31" t="s">
        <v>18</v>
      </c>
      <c r="E182" s="31" t="s">
        <v>19</v>
      </c>
      <c r="F182" s="31" t="s">
        <v>20</v>
      </c>
      <c r="G182" s="31" t="s">
        <v>21</v>
      </c>
      <c r="H182" s="31" t="s">
        <v>22</v>
      </c>
      <c r="I182" s="31" t="s">
        <v>23</v>
      </c>
      <c r="J182" s="31" t="s">
        <v>24</v>
      </c>
      <c r="K182" s="31" t="s">
        <v>25</v>
      </c>
      <c r="L182" s="31" t="s">
        <v>26</v>
      </c>
      <c r="M182" s="31" t="s">
        <v>27</v>
      </c>
      <c r="N182" s="31" t="s">
        <v>28</v>
      </c>
      <c r="O182" s="31" t="s">
        <v>29</v>
      </c>
      <c r="P182" s="31" t="s">
        <v>30</v>
      </c>
      <c r="Q182" s="31" t="s">
        <v>31</v>
      </c>
      <c r="R182" s="31" t="s">
        <v>32</v>
      </c>
    </row>
    <row r="183" spans="1:18">
      <c r="A183" s="61">
        <v>1778143547879</v>
      </c>
      <c r="B183" s="34">
        <v>18754</v>
      </c>
      <c r="C183" s="6" t="s">
        <v>33</v>
      </c>
      <c r="D183" s="34">
        <v>200</v>
      </c>
      <c r="E183" s="34" t="s">
        <v>34</v>
      </c>
      <c r="F183" s="34" t="s">
        <v>99</v>
      </c>
      <c r="G183" s="34" t="s">
        <v>36</v>
      </c>
      <c r="H183" s="34" t="b">
        <v>1</v>
      </c>
      <c r="I183" s="34"/>
      <c r="J183" s="34">
        <v>207</v>
      </c>
      <c r="K183" s="34">
        <v>457</v>
      </c>
      <c r="L183" s="34">
        <v>2</v>
      </c>
      <c r="M183" s="34">
        <v>2</v>
      </c>
      <c r="N183" s="6" t="s">
        <v>37</v>
      </c>
      <c r="O183" s="34">
        <v>18753</v>
      </c>
      <c r="P183" s="34">
        <v>0</v>
      </c>
      <c r="Q183" s="34">
        <v>5</v>
      </c>
      <c r="R183" s="61"/>
    </row>
    <row r="184" spans="1:18">
      <c r="A184" s="61">
        <v>1778143547880</v>
      </c>
      <c r="B184" s="34">
        <v>25424</v>
      </c>
      <c r="C184" s="6" t="s">
        <v>33</v>
      </c>
      <c r="D184" s="34">
        <v>200</v>
      </c>
      <c r="E184" s="34" t="s">
        <v>34</v>
      </c>
      <c r="F184" s="34" t="s">
        <v>35</v>
      </c>
      <c r="G184" s="34" t="s">
        <v>36</v>
      </c>
      <c r="H184" s="34" t="b">
        <v>1</v>
      </c>
      <c r="I184" s="34"/>
      <c r="J184" s="34">
        <v>207</v>
      </c>
      <c r="K184" s="34">
        <v>457</v>
      </c>
      <c r="L184" s="34">
        <v>2</v>
      </c>
      <c r="M184" s="34">
        <v>2</v>
      </c>
      <c r="N184" s="6" t="s">
        <v>37</v>
      </c>
      <c r="O184" s="34">
        <v>25423</v>
      </c>
      <c r="P184" s="34">
        <v>0</v>
      </c>
      <c r="Q184" s="34">
        <v>3</v>
      </c>
      <c r="R184" s="61"/>
    </row>
    <row r="185" spans="1:18">
      <c r="A185" s="61">
        <v>1778143573306</v>
      </c>
      <c r="B185" s="34">
        <v>58</v>
      </c>
      <c r="C185" s="6" t="s">
        <v>38</v>
      </c>
      <c r="D185" s="34">
        <v>200</v>
      </c>
      <c r="E185" s="34" t="s">
        <v>34</v>
      </c>
      <c r="F185" s="34" t="s">
        <v>99</v>
      </c>
      <c r="G185" s="34" t="s">
        <v>36</v>
      </c>
      <c r="H185" s="34" t="b">
        <v>1</v>
      </c>
      <c r="I185" s="34"/>
      <c r="J185" s="34">
        <v>8050</v>
      </c>
      <c r="K185" s="34">
        <v>344</v>
      </c>
      <c r="L185" s="34">
        <v>2</v>
      </c>
      <c r="M185" s="34">
        <v>2</v>
      </c>
      <c r="N185" s="6" t="s">
        <v>37</v>
      </c>
      <c r="O185" s="34">
        <v>58</v>
      </c>
      <c r="P185" s="34">
        <v>0</v>
      </c>
      <c r="Q185" s="34">
        <v>0</v>
      </c>
      <c r="R185" s="61"/>
    </row>
    <row r="186" spans="1:18">
      <c r="A186" s="61">
        <v>1778143573306</v>
      </c>
      <c r="B186" s="34">
        <v>37</v>
      </c>
      <c r="C186" s="6" t="s">
        <v>38</v>
      </c>
      <c r="D186" s="34">
        <v>200</v>
      </c>
      <c r="E186" s="34" t="s">
        <v>34</v>
      </c>
      <c r="F186" s="34" t="s">
        <v>35</v>
      </c>
      <c r="G186" s="34" t="s">
        <v>36</v>
      </c>
      <c r="H186" s="34" t="b">
        <v>1</v>
      </c>
      <c r="I186" s="34"/>
      <c r="J186" s="34">
        <v>8050</v>
      </c>
      <c r="K186" s="34">
        <v>344</v>
      </c>
      <c r="L186" s="34">
        <v>2</v>
      </c>
      <c r="M186" s="34">
        <v>2</v>
      </c>
      <c r="N186" s="6" t="s">
        <v>37</v>
      </c>
      <c r="O186" s="34">
        <v>37</v>
      </c>
      <c r="P186" s="34">
        <v>0</v>
      </c>
      <c r="Q186" s="34">
        <v>0</v>
      </c>
      <c r="R186" s="61"/>
    </row>
    <row r="187" spans="1:18">
      <c r="A187" s="61">
        <v>1778143573573</v>
      </c>
      <c r="B187" s="34">
        <v>18</v>
      </c>
      <c r="C187" s="6" t="s">
        <v>39</v>
      </c>
      <c r="D187" s="34">
        <v>200</v>
      </c>
      <c r="E187" s="34" t="s">
        <v>34</v>
      </c>
      <c r="F187" s="34" t="s">
        <v>99</v>
      </c>
      <c r="G187" s="34" t="s">
        <v>36</v>
      </c>
      <c r="H187" s="34" t="b">
        <v>1</v>
      </c>
      <c r="I187" s="34"/>
      <c r="J187" s="34">
        <v>287</v>
      </c>
      <c r="K187" s="34">
        <v>386</v>
      </c>
      <c r="L187" s="34">
        <v>2</v>
      </c>
      <c r="M187" s="34">
        <v>2</v>
      </c>
      <c r="N187" s="6" t="s">
        <v>37</v>
      </c>
      <c r="O187" s="34">
        <v>17</v>
      </c>
      <c r="P187" s="34">
        <v>0</v>
      </c>
      <c r="Q187" s="34">
        <v>0</v>
      </c>
      <c r="R187" s="61"/>
    </row>
    <row r="188" spans="1:18">
      <c r="A188" s="61">
        <v>1778143573573</v>
      </c>
      <c r="B188" s="34">
        <v>28</v>
      </c>
      <c r="C188" s="6" t="s">
        <v>39</v>
      </c>
      <c r="D188" s="34">
        <v>200</v>
      </c>
      <c r="E188" s="34" t="s">
        <v>34</v>
      </c>
      <c r="F188" s="34" t="s">
        <v>35</v>
      </c>
      <c r="G188" s="34" t="s">
        <v>36</v>
      </c>
      <c r="H188" s="34" t="b">
        <v>1</v>
      </c>
      <c r="I188" s="34"/>
      <c r="J188" s="34">
        <v>287</v>
      </c>
      <c r="K188" s="34">
        <v>386</v>
      </c>
      <c r="L188" s="34">
        <v>2</v>
      </c>
      <c r="M188" s="34">
        <v>2</v>
      </c>
      <c r="N188" s="6" t="s">
        <v>37</v>
      </c>
      <c r="O188" s="34">
        <v>28</v>
      </c>
      <c r="P188" s="34">
        <v>0</v>
      </c>
      <c r="Q188" s="34">
        <v>0</v>
      </c>
      <c r="R188" s="61"/>
    </row>
    <row r="189" spans="1:18">
      <c r="A189" s="61">
        <v>1778143573602</v>
      </c>
      <c r="B189" s="34">
        <v>15</v>
      </c>
      <c r="C189" s="6" t="s">
        <v>40</v>
      </c>
      <c r="D189" s="34">
        <v>200</v>
      </c>
      <c r="E189" s="34" t="s">
        <v>34</v>
      </c>
      <c r="F189" s="34" t="s">
        <v>99</v>
      </c>
      <c r="G189" s="34" t="s">
        <v>36</v>
      </c>
      <c r="H189" s="34" t="b">
        <v>1</v>
      </c>
      <c r="I189" s="34"/>
      <c r="J189" s="34">
        <v>292</v>
      </c>
      <c r="K189" s="34">
        <v>370</v>
      </c>
      <c r="L189" s="34">
        <v>2</v>
      </c>
      <c r="M189" s="34">
        <v>2</v>
      </c>
      <c r="N189" s="6" t="s">
        <v>37</v>
      </c>
      <c r="O189" s="34">
        <v>15</v>
      </c>
      <c r="P189" s="34">
        <v>0</v>
      </c>
      <c r="Q189" s="34">
        <v>0</v>
      </c>
      <c r="R189" s="61"/>
    </row>
    <row r="190" spans="1:18" ht="15" thickBot="1">
      <c r="A190" s="62">
        <v>1778143573602</v>
      </c>
      <c r="B190" s="39">
        <v>25</v>
      </c>
      <c r="C190" s="63" t="s">
        <v>40</v>
      </c>
      <c r="D190" s="39">
        <v>200</v>
      </c>
      <c r="E190" s="39" t="s">
        <v>34</v>
      </c>
      <c r="F190" s="39" t="s">
        <v>35</v>
      </c>
      <c r="G190" s="39" t="s">
        <v>36</v>
      </c>
      <c r="H190" s="39" t="b">
        <v>1</v>
      </c>
      <c r="I190" s="39"/>
      <c r="J190" s="39">
        <v>292</v>
      </c>
      <c r="K190" s="39">
        <v>370</v>
      </c>
      <c r="L190" s="39">
        <v>1</v>
      </c>
      <c r="M190" s="39">
        <v>1</v>
      </c>
      <c r="N190" s="63" t="s">
        <v>37</v>
      </c>
      <c r="O190" s="39">
        <v>25</v>
      </c>
      <c r="P190" s="39">
        <v>0</v>
      </c>
      <c r="Q190" s="39">
        <v>0</v>
      </c>
      <c r="R190" s="62"/>
    </row>
  </sheetData>
  <mergeCells count="47">
    <mergeCell ref="A26:B26"/>
    <mergeCell ref="A1:B1"/>
    <mergeCell ref="A2:B2"/>
    <mergeCell ref="A3:B3"/>
    <mergeCell ref="A4:B4"/>
    <mergeCell ref="A5:B5"/>
    <mergeCell ref="A6:B6"/>
    <mergeCell ref="A7:B7"/>
    <mergeCell ref="A8:B8"/>
    <mergeCell ref="A9:B9"/>
    <mergeCell ref="A17:B17"/>
    <mergeCell ref="A18:B18"/>
    <mergeCell ref="A89:B89"/>
    <mergeCell ref="A27:B27"/>
    <mergeCell ref="A35:B35"/>
    <mergeCell ref="A36:B36"/>
    <mergeCell ref="A44:B44"/>
    <mergeCell ref="A45:B45"/>
    <mergeCell ref="A53:B53"/>
    <mergeCell ref="A54:B54"/>
    <mergeCell ref="A62:B62"/>
    <mergeCell ref="A63:B63"/>
    <mergeCell ref="A80:B80"/>
    <mergeCell ref="A81:B81"/>
    <mergeCell ref="A143:B143"/>
    <mergeCell ref="A90:B90"/>
    <mergeCell ref="A98:B98"/>
    <mergeCell ref="A99:B99"/>
    <mergeCell ref="A107:B107"/>
    <mergeCell ref="A108:B108"/>
    <mergeCell ref="A116:B116"/>
    <mergeCell ref="A171:B171"/>
    <mergeCell ref="A179:B179"/>
    <mergeCell ref="A180:B180"/>
    <mergeCell ref="A71:B71"/>
    <mergeCell ref="A72:B72"/>
    <mergeCell ref="A144:B144"/>
    <mergeCell ref="A152:B152"/>
    <mergeCell ref="A153:B153"/>
    <mergeCell ref="A161:B161"/>
    <mergeCell ref="A162:B162"/>
    <mergeCell ref="A170:B170"/>
    <mergeCell ref="A117:B117"/>
    <mergeCell ref="A125:B125"/>
    <mergeCell ref="A126:B126"/>
    <mergeCell ref="A134:B134"/>
    <mergeCell ref="A135:B13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61B60-ABBB-4F2A-B7AF-A6CFC4FC8FB6}">
  <dimension ref="A1:AA212"/>
  <sheetViews>
    <sheetView zoomScale="80" zoomScaleNormal="80" workbookViewId="0">
      <pane ySplit="6" topLeftCell="A7" activePane="bottomLeft" state="frozen"/>
      <selection pane="bottomLeft" activeCell="A7" sqref="A7"/>
    </sheetView>
  </sheetViews>
  <sheetFormatPr defaultRowHeight="14.45"/>
  <cols>
    <col min="1" max="1" width="35.42578125" customWidth="1"/>
    <col min="2" max="2" width="14.5703125" style="10" customWidth="1"/>
    <col min="3" max="4" width="8" style="10" hidden="1" customWidth="1"/>
    <col min="5" max="7" width="8.42578125" style="10" hidden="1" customWidth="1"/>
    <col min="8" max="9" width="8" style="10" hidden="1" customWidth="1"/>
    <col min="10" max="10" width="8.85546875" style="10"/>
    <col min="11" max="11" width="16.140625" style="10" customWidth="1"/>
    <col min="12" max="12" width="16.42578125" style="10" customWidth="1"/>
    <col min="13" max="13" width="14.85546875" style="10" customWidth="1"/>
    <col min="14" max="14" width="19.85546875" style="10" bestFit="1" customWidth="1"/>
    <col min="15" max="19" width="18.85546875" style="10" bestFit="1" customWidth="1"/>
    <col min="20" max="20" width="20.5703125" style="10" bestFit="1" customWidth="1"/>
    <col min="21" max="21" width="22.5703125" style="10" customWidth="1"/>
    <col min="22" max="22" width="17.5703125" style="10" bestFit="1" customWidth="1"/>
    <col min="23" max="23" width="25.42578125" style="10" customWidth="1"/>
    <col min="24" max="24" width="14.42578125" style="10" customWidth="1"/>
    <col min="25" max="25" width="13.85546875" style="10" customWidth="1"/>
    <col min="26" max="26" width="54.42578125" customWidth="1"/>
  </cols>
  <sheetData>
    <row r="1" spans="1:27">
      <c r="A1" s="7" t="s">
        <v>0</v>
      </c>
      <c r="B1" s="7" t="s">
        <v>100</v>
      </c>
      <c r="C1" s="8"/>
      <c r="D1" s="9"/>
      <c r="J1" s="7"/>
      <c r="O1" s="9"/>
      <c r="R1" s="2"/>
      <c r="S1" s="173" t="s">
        <v>101</v>
      </c>
      <c r="T1" s="173"/>
      <c r="W1" s="9"/>
      <c r="AA1" s="13"/>
    </row>
    <row r="2" spans="1:27">
      <c r="A2" s="14" t="s">
        <v>2</v>
      </c>
      <c r="B2" s="15" t="s">
        <v>3</v>
      </c>
      <c r="C2" s="9"/>
      <c r="D2" s="9"/>
      <c r="N2" s="9"/>
      <c r="O2" s="9"/>
      <c r="R2" s="2"/>
      <c r="S2" s="9" t="s">
        <v>102</v>
      </c>
      <c r="T2" s="9" t="s">
        <v>103</v>
      </c>
      <c r="W2" s="9"/>
      <c r="AA2" s="13"/>
    </row>
    <row r="3" spans="1:27">
      <c r="A3" s="14"/>
      <c r="B3" s="15" t="s">
        <v>104</v>
      </c>
      <c r="C3" s="9"/>
      <c r="D3" s="9"/>
      <c r="N3" s="9"/>
      <c r="O3" s="9"/>
      <c r="R3" s="2"/>
      <c r="S3" s="9" t="s">
        <v>105</v>
      </c>
      <c r="T3" s="9" t="s">
        <v>106</v>
      </c>
      <c r="W3" s="9"/>
      <c r="AA3" s="13"/>
    </row>
    <row r="4" spans="1:27">
      <c r="A4" s="14" t="s">
        <v>189</v>
      </c>
      <c r="B4" s="14" t="s">
        <v>190</v>
      </c>
      <c r="C4" s="9"/>
      <c r="D4" s="9"/>
      <c r="L4" s="9"/>
      <c r="N4" s="9"/>
      <c r="O4" s="9"/>
      <c r="R4" s="2"/>
      <c r="S4" s="9" t="s">
        <v>107</v>
      </c>
      <c r="T4" s="9" t="s">
        <v>108</v>
      </c>
      <c r="W4" s="9"/>
      <c r="AA4" s="13"/>
    </row>
    <row r="5" spans="1:27">
      <c r="A5" s="14" t="s">
        <v>7</v>
      </c>
      <c r="B5" s="93" t="s">
        <v>161</v>
      </c>
      <c r="C5" s="9"/>
      <c r="D5" s="9"/>
      <c r="L5" s="9"/>
      <c r="N5" s="9"/>
      <c r="O5" s="9"/>
      <c r="R5" s="2"/>
      <c r="S5" s="9" t="s">
        <v>109</v>
      </c>
      <c r="T5" s="9" t="s">
        <v>110</v>
      </c>
      <c r="W5" s="9"/>
      <c r="AA5" s="13"/>
    </row>
    <row r="6" spans="1:27" ht="15" thickBot="1">
      <c r="A6" s="16" t="s">
        <v>9</v>
      </c>
      <c r="B6" s="17" t="s">
        <v>10</v>
      </c>
      <c r="C6" s="18"/>
      <c r="D6" s="18"/>
      <c r="E6" s="19"/>
      <c r="F6" s="19"/>
      <c r="G6" s="19"/>
      <c r="H6" s="19"/>
      <c r="I6" s="19"/>
      <c r="J6" s="19"/>
      <c r="K6" s="19"/>
      <c r="L6" s="19"/>
      <c r="M6" s="19"/>
      <c r="N6" s="18"/>
      <c r="O6" s="18"/>
      <c r="P6" s="19"/>
      <c r="Q6" s="19"/>
      <c r="R6" s="19"/>
      <c r="S6" s="83" t="s">
        <v>111</v>
      </c>
      <c r="T6" s="19" t="s">
        <v>112</v>
      </c>
      <c r="U6" s="19"/>
      <c r="V6" s="19"/>
      <c r="W6" s="19"/>
      <c r="X6" s="19"/>
      <c r="Y6" s="19"/>
      <c r="Z6" s="20"/>
    </row>
    <row r="7" spans="1:27">
      <c r="A7" s="21" t="s">
        <v>11</v>
      </c>
      <c r="B7" s="22" t="s">
        <v>12</v>
      </c>
      <c r="C7" s="23"/>
      <c r="D7" s="24"/>
      <c r="E7" s="25"/>
      <c r="F7" s="25"/>
      <c r="G7" s="25"/>
      <c r="H7" s="25"/>
      <c r="I7" s="25"/>
      <c r="J7" s="25"/>
      <c r="K7" s="25"/>
    </row>
    <row r="8" spans="1:27">
      <c r="A8" s="26" t="s">
        <v>113</v>
      </c>
      <c r="B8" s="27" t="s">
        <v>191</v>
      </c>
      <c r="C8" s="24"/>
      <c r="D8" s="24"/>
      <c r="E8" s="25"/>
      <c r="F8" s="25"/>
      <c r="G8" s="25"/>
      <c r="H8" s="25"/>
      <c r="I8" s="25"/>
      <c r="J8" s="25"/>
      <c r="K8" s="25"/>
    </row>
    <row r="9" spans="1:27">
      <c r="A9" s="14"/>
      <c r="B9" s="15"/>
      <c r="C9" s="9"/>
      <c r="D9" s="9"/>
    </row>
    <row r="10" spans="1:27" s="32" customFormat="1">
      <c r="A10" s="30" t="s">
        <v>114</v>
      </c>
      <c r="B10" s="31" t="s">
        <v>115</v>
      </c>
      <c r="C10" s="31" t="s">
        <v>116</v>
      </c>
      <c r="D10" s="31" t="s">
        <v>117</v>
      </c>
      <c r="E10" s="31" t="s">
        <v>118</v>
      </c>
      <c r="F10" s="31" t="s">
        <v>119</v>
      </c>
      <c r="G10" s="31" t="s">
        <v>120</v>
      </c>
      <c r="H10" s="31" t="s">
        <v>121</v>
      </c>
      <c r="I10" s="31" t="s">
        <v>122</v>
      </c>
      <c r="J10" s="31" t="s">
        <v>123</v>
      </c>
      <c r="K10" s="31" t="s">
        <v>124</v>
      </c>
      <c r="L10" s="31" t="s">
        <v>125</v>
      </c>
      <c r="M10" s="31" t="s">
        <v>126</v>
      </c>
      <c r="N10" s="31" t="s">
        <v>116</v>
      </c>
      <c r="O10" s="31" t="s">
        <v>117</v>
      </c>
      <c r="P10" s="31" t="s">
        <v>118</v>
      </c>
      <c r="Q10" s="31" t="s">
        <v>119</v>
      </c>
      <c r="R10" s="31" t="s">
        <v>120</v>
      </c>
      <c r="S10" s="31" t="s">
        <v>121</v>
      </c>
      <c r="T10" s="31" t="s">
        <v>122</v>
      </c>
      <c r="U10" s="31" t="s">
        <v>127</v>
      </c>
    </row>
    <row r="11" spans="1:27">
      <c r="A11" s="33" t="s">
        <v>33</v>
      </c>
      <c r="B11" s="34">
        <v>1</v>
      </c>
      <c r="C11" s="34">
        <v>3509</v>
      </c>
      <c r="D11" s="34">
        <v>3509</v>
      </c>
      <c r="E11" s="34">
        <v>3509</v>
      </c>
      <c r="F11" s="34">
        <v>3509</v>
      </c>
      <c r="G11" s="34">
        <v>3509</v>
      </c>
      <c r="H11" s="34">
        <v>3509</v>
      </c>
      <c r="I11" s="34">
        <v>3509</v>
      </c>
      <c r="J11" s="35">
        <v>0</v>
      </c>
      <c r="K11" s="36">
        <v>0.28498000000000001</v>
      </c>
      <c r="L11" s="37">
        <v>0.06</v>
      </c>
      <c r="M11" s="34">
        <v>0.13</v>
      </c>
      <c r="N11" s="52" t="str">
        <f>C11&amp;" ("&amp;TEXT(C11/1000,"0.000")&amp;" secs)"</f>
        <v>3509 (3.509 secs)</v>
      </c>
      <c r="O11" s="52" t="str">
        <f>D11&amp;" ("&amp;TEXT(D11/1000,"0.000")&amp;" secs)"</f>
        <v>3509 (3.509 secs)</v>
      </c>
      <c r="P11" s="52" t="str">
        <f t="shared" ref="P11:T15" si="0">E11&amp;" ("&amp;TEXT(E11/1000,"0.000")&amp;" secs)"</f>
        <v>3509 (3.509 secs)</v>
      </c>
      <c r="Q11" s="52" t="str">
        <f t="shared" si="0"/>
        <v>3509 (3.509 secs)</v>
      </c>
      <c r="R11" s="52" t="str">
        <f t="shared" si="0"/>
        <v>3509 (3.509 secs)</v>
      </c>
      <c r="S11" s="162" t="str">
        <f t="shared" si="0"/>
        <v>3509 (3.509 secs)</v>
      </c>
      <c r="T11" s="52" t="str">
        <f t="shared" si="0"/>
        <v>3509 (3.509 secs)</v>
      </c>
      <c r="U11" s="71"/>
      <c r="V11"/>
      <c r="W11"/>
      <c r="X11"/>
      <c r="Y11"/>
    </row>
    <row r="12" spans="1:27">
      <c r="A12" s="33" t="s">
        <v>38</v>
      </c>
      <c r="B12" s="34">
        <v>1</v>
      </c>
      <c r="C12" s="34">
        <v>167</v>
      </c>
      <c r="D12" s="34">
        <v>167</v>
      </c>
      <c r="E12" s="34">
        <v>167</v>
      </c>
      <c r="F12" s="34">
        <v>167</v>
      </c>
      <c r="G12" s="34">
        <v>167</v>
      </c>
      <c r="H12" s="34">
        <v>167</v>
      </c>
      <c r="I12" s="34">
        <v>167</v>
      </c>
      <c r="J12" s="35">
        <v>0</v>
      </c>
      <c r="K12" s="36">
        <v>5.9880199999999997</v>
      </c>
      <c r="L12" s="37">
        <v>3.58</v>
      </c>
      <c r="M12" s="34">
        <v>2.0099999999999998</v>
      </c>
      <c r="N12" s="52" t="str">
        <f t="shared" ref="N12:O15" si="1">C12&amp;" ("&amp;TEXT(C12/1000,"0.000")&amp;" secs)"</f>
        <v>167 (0.167 secs)</v>
      </c>
      <c r="O12" s="52" t="str">
        <f t="shared" si="1"/>
        <v>167 (0.167 secs)</v>
      </c>
      <c r="P12" s="52" t="str">
        <f t="shared" si="0"/>
        <v>167 (0.167 secs)</v>
      </c>
      <c r="Q12" s="52" t="str">
        <f t="shared" si="0"/>
        <v>167 (0.167 secs)</v>
      </c>
      <c r="R12" s="52" t="str">
        <f t="shared" si="0"/>
        <v>167 (0.167 secs)</v>
      </c>
      <c r="S12" s="162" t="str">
        <f t="shared" si="0"/>
        <v>167 (0.167 secs)</v>
      </c>
      <c r="T12" s="52" t="str">
        <f t="shared" si="0"/>
        <v>167 (0.167 secs)</v>
      </c>
      <c r="U12" s="71"/>
      <c r="V12"/>
      <c r="W12"/>
      <c r="X12"/>
      <c r="Y12"/>
    </row>
    <row r="13" spans="1:27">
      <c r="A13" s="33" t="s">
        <v>39</v>
      </c>
      <c r="B13" s="34">
        <v>1</v>
      </c>
      <c r="C13" s="34">
        <v>163</v>
      </c>
      <c r="D13" s="34">
        <v>163</v>
      </c>
      <c r="E13" s="34">
        <v>163</v>
      </c>
      <c r="F13" s="34">
        <v>163</v>
      </c>
      <c r="G13" s="34">
        <v>163</v>
      </c>
      <c r="H13" s="34">
        <v>163</v>
      </c>
      <c r="I13" s="34">
        <v>163</v>
      </c>
      <c r="J13" s="35">
        <v>0</v>
      </c>
      <c r="K13" s="36">
        <v>6.13497</v>
      </c>
      <c r="L13" s="37">
        <v>1.47</v>
      </c>
      <c r="M13" s="34">
        <v>2.31</v>
      </c>
      <c r="N13" s="52" t="str">
        <f t="shared" si="1"/>
        <v>163 (0.163 secs)</v>
      </c>
      <c r="O13" s="52" t="str">
        <f t="shared" si="1"/>
        <v>163 (0.163 secs)</v>
      </c>
      <c r="P13" s="52" t="str">
        <f t="shared" si="0"/>
        <v>163 (0.163 secs)</v>
      </c>
      <c r="Q13" s="52" t="str">
        <f t="shared" si="0"/>
        <v>163 (0.163 secs)</v>
      </c>
      <c r="R13" s="52" t="str">
        <f t="shared" si="0"/>
        <v>163 (0.163 secs)</v>
      </c>
      <c r="S13" s="162" t="str">
        <f t="shared" si="0"/>
        <v>163 (0.163 secs)</v>
      </c>
      <c r="T13" s="52" t="str">
        <f t="shared" si="0"/>
        <v>163 (0.163 secs)</v>
      </c>
      <c r="U13" s="71"/>
      <c r="V13"/>
      <c r="W13"/>
      <c r="X13"/>
      <c r="Y13"/>
    </row>
    <row r="14" spans="1:27">
      <c r="A14" s="33" t="s">
        <v>40</v>
      </c>
      <c r="B14" s="34">
        <v>1</v>
      </c>
      <c r="C14" s="34">
        <v>154</v>
      </c>
      <c r="D14" s="34">
        <v>154</v>
      </c>
      <c r="E14" s="34">
        <v>154</v>
      </c>
      <c r="F14" s="34">
        <v>154</v>
      </c>
      <c r="G14" s="34">
        <v>154</v>
      </c>
      <c r="H14" s="34">
        <v>154</v>
      </c>
      <c r="I14" s="34">
        <v>154</v>
      </c>
      <c r="J14" s="35">
        <v>0</v>
      </c>
      <c r="K14" s="36">
        <v>6.4935099999999997</v>
      </c>
      <c r="L14" s="37">
        <v>2.44</v>
      </c>
      <c r="M14" s="34">
        <v>2.35</v>
      </c>
      <c r="N14" s="52" t="str">
        <f t="shared" si="1"/>
        <v>154 (0.154 secs)</v>
      </c>
      <c r="O14" s="52" t="str">
        <f t="shared" si="1"/>
        <v>154 (0.154 secs)</v>
      </c>
      <c r="P14" s="52" t="str">
        <f t="shared" si="0"/>
        <v>154 (0.154 secs)</v>
      </c>
      <c r="Q14" s="52" t="str">
        <f t="shared" si="0"/>
        <v>154 (0.154 secs)</v>
      </c>
      <c r="R14" s="52" t="str">
        <f t="shared" si="0"/>
        <v>154 (0.154 secs)</v>
      </c>
      <c r="S14" s="162" t="str">
        <f t="shared" si="0"/>
        <v>154 (0.154 secs)</v>
      </c>
      <c r="T14" s="52" t="str">
        <f t="shared" si="0"/>
        <v>154 (0.154 secs)</v>
      </c>
      <c r="U14" s="71"/>
      <c r="V14"/>
      <c r="W14"/>
      <c r="X14"/>
      <c r="Y14"/>
    </row>
    <row r="15" spans="1:27" ht="15" thickBot="1">
      <c r="A15" s="38" t="s">
        <v>128</v>
      </c>
      <c r="B15" s="39">
        <v>4</v>
      </c>
      <c r="C15" s="39">
        <v>998</v>
      </c>
      <c r="D15" s="39">
        <v>163</v>
      </c>
      <c r="E15" s="39">
        <v>3509</v>
      </c>
      <c r="F15" s="39">
        <v>3509</v>
      </c>
      <c r="G15" s="39">
        <v>3509</v>
      </c>
      <c r="H15" s="39">
        <v>154</v>
      </c>
      <c r="I15" s="39">
        <v>3509</v>
      </c>
      <c r="J15" s="40">
        <v>0</v>
      </c>
      <c r="K15" s="41">
        <v>0.98063</v>
      </c>
      <c r="L15" s="42">
        <v>0.35</v>
      </c>
      <c r="M15" s="39">
        <v>0.37</v>
      </c>
      <c r="N15" s="53" t="str">
        <f t="shared" si="1"/>
        <v>998 (0.998 secs)</v>
      </c>
      <c r="O15" s="53" t="str">
        <f t="shared" si="1"/>
        <v>163 (0.163 secs)</v>
      </c>
      <c r="P15" s="53" t="str">
        <f t="shared" si="0"/>
        <v>3509 (3.509 secs)</v>
      </c>
      <c r="Q15" s="53" t="str">
        <f t="shared" si="0"/>
        <v>3509 (3.509 secs)</v>
      </c>
      <c r="R15" s="53" t="str">
        <f t="shared" si="0"/>
        <v>3509 (3.509 secs)</v>
      </c>
      <c r="S15" s="163" t="str">
        <f t="shared" si="0"/>
        <v>154 (0.154 secs)</v>
      </c>
      <c r="T15" s="53" t="str">
        <f t="shared" si="0"/>
        <v>3509 (3.509 secs)</v>
      </c>
      <c r="U15" s="72"/>
      <c r="V15" s="32"/>
      <c r="W15" s="32"/>
      <c r="X15" s="32"/>
      <c r="Y15" s="32"/>
      <c r="Z15" s="32"/>
    </row>
    <row r="16" spans="1:27">
      <c r="J16" s="43"/>
      <c r="N16" s="1"/>
      <c r="V16"/>
      <c r="W16"/>
      <c r="X16"/>
      <c r="Y16"/>
    </row>
    <row r="17" spans="1:26" hidden="1">
      <c r="A17" s="26" t="s">
        <v>13</v>
      </c>
      <c r="B17" s="27" t="s">
        <v>129</v>
      </c>
      <c r="C17" s="24"/>
      <c r="D17" s="24"/>
      <c r="E17" s="25"/>
      <c r="F17" s="25"/>
      <c r="N17" s="1" t="str">
        <f t="shared" ref="N17:N33" si="2">C17&amp;" ("&amp;TEXT(C17/60000,"0.000")&amp;" mins)"</f>
        <v xml:space="preserve"> (0.000 mins)</v>
      </c>
      <c r="O17" s="24"/>
      <c r="P17" s="24"/>
      <c r="Q17" s="24"/>
      <c r="R17" s="24"/>
      <c r="S17" s="24"/>
      <c r="T17" s="9"/>
      <c r="U17" s="9"/>
      <c r="V17"/>
      <c r="W17"/>
      <c r="X17"/>
      <c r="Y17"/>
    </row>
    <row r="18" spans="1:26" hidden="1">
      <c r="A18" s="44" t="s">
        <v>130</v>
      </c>
      <c r="B18" s="45" t="s">
        <v>131</v>
      </c>
      <c r="C18" s="28"/>
      <c r="D18" s="28"/>
      <c r="E18" s="29"/>
      <c r="F18" s="29"/>
      <c r="N18" s="1" t="str">
        <f t="shared" si="2"/>
        <v xml:space="preserve"> (0.000 mins)</v>
      </c>
      <c r="O18" s="28"/>
      <c r="P18" s="28"/>
      <c r="Q18" s="28"/>
      <c r="R18" s="28"/>
      <c r="S18" s="28"/>
      <c r="T18" s="9"/>
      <c r="U18" s="9"/>
      <c r="V18"/>
      <c r="W18"/>
      <c r="X18"/>
      <c r="Y18"/>
    </row>
    <row r="19" spans="1:26" hidden="1">
      <c r="A19" s="26" t="s">
        <v>127</v>
      </c>
      <c r="B19" s="46"/>
      <c r="C19" s="25"/>
      <c r="D19" s="24"/>
      <c r="E19" s="25"/>
      <c r="F19" s="25"/>
      <c r="N19" s="1" t="str">
        <f t="shared" si="2"/>
        <v xml:space="preserve"> (0.000 mins)</v>
      </c>
      <c r="O19" s="24"/>
      <c r="P19" s="24"/>
      <c r="Q19" s="24"/>
      <c r="R19" s="24"/>
      <c r="S19" s="24"/>
      <c r="T19" s="9"/>
      <c r="U19" s="9"/>
      <c r="V19"/>
      <c r="W19"/>
      <c r="X19"/>
      <c r="Y19"/>
    </row>
    <row r="20" spans="1:26" hidden="1">
      <c r="A20" s="14"/>
      <c r="B20" s="5"/>
      <c r="D20" s="9"/>
      <c r="N20" s="1" t="str">
        <f t="shared" si="2"/>
        <v xml:space="preserve"> (0.000 mins)</v>
      </c>
      <c r="O20" s="9"/>
      <c r="P20" s="9"/>
      <c r="Q20" s="9"/>
      <c r="R20" s="9"/>
      <c r="S20" s="9"/>
      <c r="T20" s="9"/>
      <c r="U20"/>
      <c r="V20" s="32"/>
      <c r="W20" s="32"/>
      <c r="X20" s="32"/>
      <c r="Y20" s="32"/>
      <c r="Z20" s="32"/>
    </row>
    <row r="21" spans="1:26" hidden="1">
      <c r="A21" s="30" t="s">
        <v>114</v>
      </c>
      <c r="B21" s="31" t="s">
        <v>115</v>
      </c>
      <c r="C21" s="31" t="s">
        <v>116</v>
      </c>
      <c r="D21" s="31" t="s">
        <v>117</v>
      </c>
      <c r="E21" s="31" t="s">
        <v>118</v>
      </c>
      <c r="F21" s="31" t="s">
        <v>119</v>
      </c>
      <c r="G21" s="31" t="s">
        <v>120</v>
      </c>
      <c r="H21" s="31" t="s">
        <v>121</v>
      </c>
      <c r="I21" s="31" t="s">
        <v>122</v>
      </c>
      <c r="J21" s="31" t="s">
        <v>123</v>
      </c>
      <c r="K21" s="31" t="s">
        <v>124</v>
      </c>
      <c r="L21" s="31" t="s">
        <v>125</v>
      </c>
      <c r="M21" s="31" t="s">
        <v>126</v>
      </c>
      <c r="N21" s="1" t="e">
        <f t="shared" si="2"/>
        <v>#VALUE!</v>
      </c>
      <c r="O21" s="31"/>
      <c r="P21" s="31"/>
      <c r="Q21" s="31"/>
      <c r="R21" s="31"/>
      <c r="S21" s="161"/>
      <c r="T21" s="166"/>
      <c r="U21" s="70" t="s">
        <v>127</v>
      </c>
      <c r="V21"/>
      <c r="W21"/>
      <c r="X21"/>
      <c r="Y21"/>
    </row>
    <row r="22" spans="1:26" hidden="1">
      <c r="A22" s="33" t="s">
        <v>132</v>
      </c>
      <c r="B22" s="34">
        <v>1</v>
      </c>
      <c r="C22" s="34">
        <v>99170</v>
      </c>
      <c r="D22" s="34">
        <v>99170</v>
      </c>
      <c r="E22" s="34">
        <v>99170</v>
      </c>
      <c r="F22" s="34">
        <v>99170</v>
      </c>
      <c r="G22" s="34">
        <v>99170</v>
      </c>
      <c r="H22" s="34">
        <v>99170</v>
      </c>
      <c r="I22" s="34">
        <v>99170</v>
      </c>
      <c r="J22" s="35">
        <v>0</v>
      </c>
      <c r="K22" s="36">
        <v>1.00836946657255E-2</v>
      </c>
      <c r="L22" s="37">
        <v>6022.4525180088403</v>
      </c>
      <c r="M22" s="36">
        <v>1.84145595946354E-3</v>
      </c>
      <c r="N22" s="1" t="str">
        <f t="shared" si="2"/>
        <v>99170 (1.653 mins)</v>
      </c>
      <c r="O22" s="34"/>
      <c r="P22" s="34"/>
      <c r="Q22" s="34"/>
      <c r="R22" s="34"/>
      <c r="S22" s="164"/>
      <c r="U22" s="71"/>
      <c r="V22"/>
      <c r="W22"/>
      <c r="X22"/>
      <c r="Y22"/>
    </row>
    <row r="23" spans="1:26" hidden="1">
      <c r="A23" s="33" t="s">
        <v>133</v>
      </c>
      <c r="B23" s="34">
        <v>1</v>
      </c>
      <c r="C23" s="34">
        <v>9302</v>
      </c>
      <c r="D23" s="34">
        <v>9302</v>
      </c>
      <c r="E23" s="34">
        <v>9302</v>
      </c>
      <c r="F23" s="34">
        <v>9302</v>
      </c>
      <c r="G23" s="34">
        <v>9302</v>
      </c>
      <c r="H23" s="34">
        <v>9302</v>
      </c>
      <c r="I23" s="34">
        <v>9302</v>
      </c>
      <c r="J23" s="35">
        <v>0</v>
      </c>
      <c r="K23" s="36">
        <v>0.10750376263169199</v>
      </c>
      <c r="L23" s="37">
        <v>4471.2378092412901</v>
      </c>
      <c r="M23" s="36">
        <v>1.9317082347882101E-2</v>
      </c>
      <c r="N23" s="1" t="str">
        <f t="shared" si="2"/>
        <v>9302 (0.155 mins)</v>
      </c>
      <c r="O23" s="34"/>
      <c r="P23" s="34"/>
      <c r="Q23" s="34"/>
      <c r="R23" s="34"/>
      <c r="S23" s="164"/>
      <c r="U23" s="71"/>
      <c r="V23"/>
      <c r="W23"/>
      <c r="X23"/>
      <c r="Y23"/>
    </row>
    <row r="24" spans="1:26" hidden="1">
      <c r="A24" s="33" t="s">
        <v>134</v>
      </c>
      <c r="B24" s="34">
        <v>1</v>
      </c>
      <c r="C24" s="34">
        <v>5681</v>
      </c>
      <c r="D24" s="34">
        <v>5681</v>
      </c>
      <c r="E24" s="34">
        <v>5681</v>
      </c>
      <c r="F24" s="34">
        <v>5681</v>
      </c>
      <c r="G24" s="34">
        <v>5681</v>
      </c>
      <c r="H24" s="34">
        <v>5681</v>
      </c>
      <c r="I24" s="34">
        <v>5681</v>
      </c>
      <c r="J24" s="35">
        <v>0</v>
      </c>
      <c r="K24" s="36">
        <v>0.176025347650061</v>
      </c>
      <c r="L24" s="37">
        <v>5940.9173671008602</v>
      </c>
      <c r="M24" s="36">
        <v>3.0598156134483301E-2</v>
      </c>
      <c r="N24" s="1" t="str">
        <f t="shared" si="2"/>
        <v>5681 (0.095 mins)</v>
      </c>
      <c r="O24" s="34"/>
      <c r="P24" s="34"/>
      <c r="Q24" s="34"/>
      <c r="R24" s="34"/>
      <c r="S24" s="164"/>
      <c r="U24" s="71"/>
      <c r="V24"/>
      <c r="W24"/>
      <c r="X24"/>
      <c r="Y24"/>
    </row>
    <row r="25" spans="1:26" hidden="1">
      <c r="A25" s="33" t="s">
        <v>135</v>
      </c>
      <c r="B25" s="34">
        <v>1</v>
      </c>
      <c r="C25" s="34">
        <v>1163855</v>
      </c>
      <c r="D25" s="34">
        <v>1163855</v>
      </c>
      <c r="E25" s="34">
        <v>1163855</v>
      </c>
      <c r="F25" s="34">
        <v>1163855</v>
      </c>
      <c r="G25" s="34">
        <v>1163855</v>
      </c>
      <c r="H25" s="34">
        <v>1163855</v>
      </c>
      <c r="I25" s="34">
        <v>1163855</v>
      </c>
      <c r="J25" s="35">
        <v>0</v>
      </c>
      <c r="K25" s="36">
        <v>8.5921356182685896E-4</v>
      </c>
      <c r="L25" s="37">
        <v>5952.11807973958</v>
      </c>
      <c r="M25" s="36">
        <v>1.5774623986665001E-4</v>
      </c>
      <c r="N25" s="1" t="str">
        <f t="shared" si="2"/>
        <v>1163855 (19.398 mins)</v>
      </c>
      <c r="O25" s="34"/>
      <c r="P25" s="34"/>
      <c r="Q25" s="34"/>
      <c r="R25" s="34"/>
      <c r="S25" s="164"/>
      <c r="U25" s="71"/>
      <c r="V25" s="32"/>
      <c r="W25" s="32"/>
      <c r="X25" s="32"/>
      <c r="Y25" s="32"/>
      <c r="Z25" s="32"/>
    </row>
    <row r="26" spans="1:26" hidden="1">
      <c r="A26" s="33" t="s">
        <v>136</v>
      </c>
      <c r="B26" s="34">
        <v>1</v>
      </c>
      <c r="C26" s="34">
        <v>7726</v>
      </c>
      <c r="D26" s="34">
        <v>7726</v>
      </c>
      <c r="E26" s="34">
        <v>7726</v>
      </c>
      <c r="F26" s="34">
        <v>7726</v>
      </c>
      <c r="G26" s="34">
        <v>7726</v>
      </c>
      <c r="H26" s="34">
        <v>7726</v>
      </c>
      <c r="I26" s="34">
        <v>7726</v>
      </c>
      <c r="J26" s="35">
        <v>0</v>
      </c>
      <c r="K26" s="36">
        <v>0.12943308309603899</v>
      </c>
      <c r="L26" s="37">
        <v>3778.7647331251601</v>
      </c>
      <c r="M26" s="36">
        <v>2.32575071188195E-2</v>
      </c>
      <c r="N26" s="1" t="str">
        <f t="shared" si="2"/>
        <v>7726 (0.129 mins)</v>
      </c>
      <c r="O26" s="34"/>
      <c r="P26" s="34"/>
      <c r="Q26" s="34"/>
      <c r="R26" s="34"/>
      <c r="S26" s="164"/>
      <c r="U26" s="71"/>
      <c r="V26"/>
      <c r="W26"/>
      <c r="X26"/>
      <c r="Y26"/>
    </row>
    <row r="27" spans="1:26" hidden="1">
      <c r="A27" s="33" t="s">
        <v>137</v>
      </c>
      <c r="B27" s="34">
        <v>1</v>
      </c>
      <c r="C27" s="34">
        <v>14660</v>
      </c>
      <c r="D27" s="34">
        <v>14660</v>
      </c>
      <c r="E27" s="34">
        <v>14660</v>
      </c>
      <c r="F27" s="34">
        <v>14660</v>
      </c>
      <c r="G27" s="34">
        <v>14660</v>
      </c>
      <c r="H27" s="34">
        <v>14660</v>
      </c>
      <c r="I27" s="34">
        <v>14660</v>
      </c>
      <c r="J27" s="35">
        <v>0</v>
      </c>
      <c r="K27" s="36">
        <v>6.8212824010913997E-2</v>
      </c>
      <c r="L27" s="37">
        <v>6083.4467327123102</v>
      </c>
      <c r="M27" s="36">
        <v>1.25234481582537E-2</v>
      </c>
      <c r="N27" s="1" t="str">
        <f t="shared" si="2"/>
        <v>14660 (0.244 mins)</v>
      </c>
      <c r="O27" s="34"/>
      <c r="P27" s="34"/>
      <c r="Q27" s="34"/>
      <c r="R27" s="34"/>
      <c r="S27" s="164"/>
      <c r="U27" s="71"/>
      <c r="V27"/>
      <c r="W27"/>
      <c r="X27"/>
      <c r="Y27"/>
    </row>
    <row r="28" spans="1:26" hidden="1">
      <c r="A28" s="33" t="s">
        <v>138</v>
      </c>
      <c r="B28" s="34">
        <v>1</v>
      </c>
      <c r="C28" s="34">
        <v>310</v>
      </c>
      <c r="D28" s="34">
        <v>310</v>
      </c>
      <c r="E28" s="34">
        <v>310</v>
      </c>
      <c r="F28" s="34">
        <v>310</v>
      </c>
      <c r="G28" s="34">
        <v>310</v>
      </c>
      <c r="H28" s="34">
        <v>310</v>
      </c>
      <c r="I28" s="34">
        <v>310</v>
      </c>
      <c r="J28" s="35">
        <v>0</v>
      </c>
      <c r="K28" s="36">
        <v>3.2258064516128999</v>
      </c>
      <c r="L28" s="37">
        <v>3144.6793094758</v>
      </c>
      <c r="M28" s="36">
        <v>0.5859375</v>
      </c>
      <c r="N28" s="1" t="str">
        <f t="shared" si="2"/>
        <v>310 (0.005 mins)</v>
      </c>
      <c r="O28" s="34"/>
      <c r="P28" s="34"/>
      <c r="Q28" s="34"/>
      <c r="R28" s="34"/>
      <c r="S28" s="164"/>
      <c r="U28" s="71"/>
      <c r="V28"/>
      <c r="W28"/>
      <c r="X28"/>
      <c r="Y28"/>
    </row>
    <row r="29" spans="1:26" hidden="1">
      <c r="A29" s="33" t="s">
        <v>139</v>
      </c>
      <c r="B29" s="34">
        <v>1</v>
      </c>
      <c r="C29" s="34">
        <v>1964</v>
      </c>
      <c r="D29" s="34">
        <v>1964</v>
      </c>
      <c r="E29" s="34">
        <v>1964</v>
      </c>
      <c r="F29" s="34">
        <v>1964</v>
      </c>
      <c r="G29" s="34">
        <v>1964</v>
      </c>
      <c r="H29" s="34">
        <v>1964</v>
      </c>
      <c r="I29" s="34">
        <v>1964</v>
      </c>
      <c r="J29" s="35">
        <v>0</v>
      </c>
      <c r="K29" s="36">
        <v>0.50916496945010103</v>
      </c>
      <c r="L29" s="37">
        <v>5840.2544631491801</v>
      </c>
      <c r="M29" s="36">
        <v>9.2982274694501002E-2</v>
      </c>
      <c r="N29" s="1" t="str">
        <f t="shared" si="2"/>
        <v>1964 (0.033 mins)</v>
      </c>
      <c r="O29" s="34"/>
      <c r="P29" s="34"/>
      <c r="Q29" s="34"/>
      <c r="R29" s="34"/>
      <c r="S29" s="164"/>
      <c r="U29" s="71"/>
      <c r="V29"/>
      <c r="W29"/>
      <c r="X29"/>
      <c r="Y29"/>
    </row>
    <row r="30" spans="1:26" hidden="1">
      <c r="A30" s="33" t="s">
        <v>140</v>
      </c>
      <c r="B30" s="34">
        <v>1</v>
      </c>
      <c r="C30" s="34">
        <v>1970</v>
      </c>
      <c r="D30" s="34">
        <v>1970</v>
      </c>
      <c r="E30" s="34">
        <v>1970</v>
      </c>
      <c r="F30" s="34">
        <v>1970</v>
      </c>
      <c r="G30" s="34">
        <v>1970</v>
      </c>
      <c r="H30" s="34">
        <v>1970</v>
      </c>
      <c r="I30" s="34">
        <v>1970</v>
      </c>
      <c r="J30" s="35">
        <v>0</v>
      </c>
      <c r="K30" s="36">
        <v>0.50761421319796896</v>
      </c>
      <c r="L30" s="37">
        <v>5841.9108899111598</v>
      </c>
      <c r="M30" s="36">
        <v>9.1707645939086299E-2</v>
      </c>
      <c r="N30" s="1" t="str">
        <f t="shared" si="2"/>
        <v>1970 (0.033 mins)</v>
      </c>
      <c r="O30" s="34"/>
      <c r="P30" s="34"/>
      <c r="Q30" s="34"/>
      <c r="R30" s="34"/>
      <c r="S30" s="164"/>
      <c r="U30" s="71"/>
      <c r="V30" s="32"/>
      <c r="W30" s="32"/>
      <c r="X30" s="32"/>
      <c r="Y30" s="32"/>
      <c r="Z30" s="32"/>
    </row>
    <row r="31" spans="1:26" hidden="1">
      <c r="A31" s="33" t="s">
        <v>141</v>
      </c>
      <c r="B31" s="34">
        <v>1</v>
      </c>
      <c r="C31" s="34">
        <v>269</v>
      </c>
      <c r="D31" s="34">
        <v>269</v>
      </c>
      <c r="E31" s="34">
        <v>269</v>
      </c>
      <c r="F31" s="34">
        <v>269</v>
      </c>
      <c r="G31" s="34">
        <v>269</v>
      </c>
      <c r="H31" s="34">
        <v>269</v>
      </c>
      <c r="I31" s="34">
        <v>269</v>
      </c>
      <c r="J31" s="35">
        <v>0</v>
      </c>
      <c r="K31" s="36">
        <v>3.7174721189590998</v>
      </c>
      <c r="L31" s="37">
        <v>227.24500464683999</v>
      </c>
      <c r="M31" s="36">
        <v>0.67161361524163499</v>
      </c>
      <c r="N31" s="1" t="str">
        <f t="shared" si="2"/>
        <v>269 (0.004 mins)</v>
      </c>
      <c r="O31" s="34"/>
      <c r="P31" s="34"/>
      <c r="Q31" s="34"/>
      <c r="R31" s="34"/>
      <c r="S31" s="164"/>
      <c r="U31" s="71"/>
      <c r="V31"/>
      <c r="W31"/>
      <c r="X31"/>
      <c r="Y31"/>
    </row>
    <row r="32" spans="1:26" ht="15" hidden="1" thickBot="1">
      <c r="A32" s="38" t="s">
        <v>128</v>
      </c>
      <c r="B32" s="39">
        <v>10</v>
      </c>
      <c r="C32" s="39">
        <v>130490</v>
      </c>
      <c r="D32" s="39">
        <v>5681</v>
      </c>
      <c r="E32" s="39">
        <v>99170</v>
      </c>
      <c r="F32" s="39">
        <v>99170</v>
      </c>
      <c r="G32" s="39">
        <v>1163855</v>
      </c>
      <c r="H32" s="39">
        <v>269</v>
      </c>
      <c r="I32" s="39">
        <v>1163855</v>
      </c>
      <c r="J32" s="40">
        <v>0</v>
      </c>
      <c r="K32" s="41">
        <v>7.6214342167337697E-3</v>
      </c>
      <c r="L32" s="42">
        <v>5900.80678880086</v>
      </c>
      <c r="M32" s="41">
        <v>1.3784078290420801E-3</v>
      </c>
      <c r="N32" s="1" t="str">
        <f t="shared" si="2"/>
        <v>130490 (2.175 mins)</v>
      </c>
      <c r="O32" s="39"/>
      <c r="P32" s="39"/>
      <c r="Q32" s="39"/>
      <c r="R32" s="39"/>
      <c r="S32" s="165"/>
      <c r="U32" s="72"/>
      <c r="V32"/>
      <c r="W32"/>
      <c r="X32"/>
      <c r="Y32"/>
    </row>
    <row r="33" spans="1:26" hidden="1">
      <c r="A33" s="2"/>
      <c r="B33" s="2"/>
      <c r="C33" s="2"/>
      <c r="D33" s="2"/>
      <c r="E33" s="2"/>
      <c r="F33" s="2"/>
      <c r="G33" s="2"/>
      <c r="H33" s="2"/>
      <c r="I33" s="2"/>
      <c r="J33" s="2"/>
      <c r="K33" s="2"/>
      <c r="L33" s="2"/>
      <c r="M33" s="2"/>
      <c r="N33" s="1" t="str">
        <f t="shared" si="2"/>
        <v xml:space="preserve"> (0.000 mins)</v>
      </c>
      <c r="O33" s="2"/>
      <c r="P33" s="2"/>
      <c r="Q33" s="2"/>
      <c r="R33" s="2"/>
      <c r="S33" s="2"/>
      <c r="T33" s="2"/>
      <c r="U33" s="47"/>
      <c r="V33"/>
      <c r="W33"/>
      <c r="X33"/>
      <c r="Y33"/>
    </row>
    <row r="34" spans="1:26">
      <c r="A34" s="21" t="s">
        <v>41</v>
      </c>
      <c r="B34" s="22" t="s">
        <v>42</v>
      </c>
      <c r="C34" s="25"/>
      <c r="D34" s="24"/>
      <c r="E34" s="25"/>
      <c r="F34" s="25"/>
      <c r="G34" s="25"/>
      <c r="H34" s="25"/>
      <c r="I34" s="25"/>
      <c r="J34" s="25"/>
      <c r="K34" s="25"/>
      <c r="N34" s="1"/>
      <c r="O34" s="9"/>
      <c r="P34" s="9"/>
      <c r="Q34" s="9"/>
      <c r="R34" s="9"/>
      <c r="S34" s="9"/>
      <c r="T34" s="9"/>
      <c r="U34"/>
      <c r="V34"/>
      <c r="W34"/>
      <c r="X34"/>
      <c r="Y34"/>
    </row>
    <row r="35" spans="1:26">
      <c r="A35" s="48" t="s">
        <v>13</v>
      </c>
      <c r="B35" s="58" t="s">
        <v>192</v>
      </c>
      <c r="C35" s="24"/>
      <c r="D35" s="24"/>
      <c r="E35" s="25"/>
      <c r="F35" s="25"/>
      <c r="G35" s="25"/>
      <c r="H35" s="25"/>
      <c r="I35" s="25"/>
      <c r="J35" s="25"/>
      <c r="K35" s="25"/>
      <c r="N35" s="1"/>
      <c r="O35" s="9"/>
      <c r="P35" s="9"/>
      <c r="Q35" s="9"/>
      <c r="R35" s="9"/>
      <c r="S35" s="9"/>
      <c r="T35" s="9"/>
      <c r="U35"/>
      <c r="V35" s="32"/>
      <c r="W35" s="32"/>
      <c r="X35" s="32"/>
      <c r="Y35" s="32"/>
      <c r="Z35" s="32"/>
    </row>
    <row r="36" spans="1:26">
      <c r="A36" s="49"/>
      <c r="B36" s="5"/>
      <c r="D36" s="9"/>
      <c r="N36" s="1"/>
      <c r="O36" s="9"/>
      <c r="P36" s="9"/>
      <c r="Q36" s="9"/>
      <c r="R36" s="9"/>
      <c r="S36" s="9"/>
      <c r="T36" s="9"/>
      <c r="U36"/>
      <c r="V36"/>
      <c r="W36"/>
      <c r="X36"/>
      <c r="Y36"/>
    </row>
    <row r="37" spans="1:26">
      <c r="A37" s="30" t="s">
        <v>114</v>
      </c>
      <c r="B37" s="31" t="s">
        <v>115</v>
      </c>
      <c r="C37" s="31" t="s">
        <v>116</v>
      </c>
      <c r="D37" s="31" t="s">
        <v>117</v>
      </c>
      <c r="E37" s="31" t="s">
        <v>118</v>
      </c>
      <c r="F37" s="31" t="s">
        <v>119</v>
      </c>
      <c r="G37" s="31" t="s">
        <v>120</v>
      </c>
      <c r="H37" s="31" t="s">
        <v>121</v>
      </c>
      <c r="I37" s="31" t="s">
        <v>122</v>
      </c>
      <c r="J37" s="31" t="s">
        <v>123</v>
      </c>
      <c r="K37" s="31" t="s">
        <v>143</v>
      </c>
      <c r="L37" s="31" t="s">
        <v>125</v>
      </c>
      <c r="M37" s="31" t="s">
        <v>126</v>
      </c>
      <c r="N37" s="31" t="s">
        <v>116</v>
      </c>
      <c r="O37" s="31" t="s">
        <v>117</v>
      </c>
      <c r="P37" s="31" t="s">
        <v>118</v>
      </c>
      <c r="Q37" s="31" t="s">
        <v>119</v>
      </c>
      <c r="R37" s="31" t="s">
        <v>120</v>
      </c>
      <c r="S37" s="31" t="s">
        <v>121</v>
      </c>
      <c r="T37" s="31" t="s">
        <v>122</v>
      </c>
      <c r="U37" s="31" t="s">
        <v>127</v>
      </c>
      <c r="V37"/>
      <c r="W37"/>
      <c r="X37"/>
      <c r="Y37"/>
    </row>
    <row r="38" spans="1:26">
      <c r="A38" s="33" t="s">
        <v>33</v>
      </c>
      <c r="B38" s="34">
        <v>1</v>
      </c>
      <c r="C38" s="34">
        <v>826</v>
      </c>
      <c r="D38" s="34">
        <v>826</v>
      </c>
      <c r="E38" s="34">
        <v>826</v>
      </c>
      <c r="F38" s="34">
        <v>826</v>
      </c>
      <c r="G38" s="34">
        <v>826</v>
      </c>
      <c r="H38" s="34">
        <v>826</v>
      </c>
      <c r="I38" s="34">
        <v>826</v>
      </c>
      <c r="J38" s="35">
        <v>0</v>
      </c>
      <c r="K38" s="36">
        <v>1.21065</v>
      </c>
      <c r="L38" s="37">
        <v>0.24</v>
      </c>
      <c r="M38" s="34">
        <v>0.53</v>
      </c>
      <c r="N38" s="52" t="str">
        <f>C38&amp;" ("&amp;TEXT(C38/1000,"0.000")&amp;" secs)"</f>
        <v>826 (0.826 secs)</v>
      </c>
      <c r="O38" s="52" t="str">
        <f>D38&amp;" ("&amp;TEXT(D38/1000,"0.000")&amp;" secs)"</f>
        <v>826 (0.826 secs)</v>
      </c>
      <c r="P38" s="52" t="str">
        <f t="shared" ref="P38:T42" si="3">E38&amp;" ("&amp;TEXT(E38/1000,"0.000")&amp;" secs)"</f>
        <v>826 (0.826 secs)</v>
      </c>
      <c r="Q38" s="52" t="str">
        <f t="shared" si="3"/>
        <v>826 (0.826 secs)</v>
      </c>
      <c r="R38" s="52" t="str">
        <f t="shared" si="3"/>
        <v>826 (0.826 secs)</v>
      </c>
      <c r="S38" s="162" t="str">
        <f t="shared" si="3"/>
        <v>826 (0.826 secs)</v>
      </c>
      <c r="T38" s="52" t="str">
        <f t="shared" si="3"/>
        <v>826 (0.826 secs)</v>
      </c>
      <c r="U38" s="71"/>
      <c r="V38"/>
      <c r="W38"/>
      <c r="X38"/>
      <c r="Y38"/>
    </row>
    <row r="39" spans="1:26">
      <c r="A39" s="33" t="s">
        <v>38</v>
      </c>
      <c r="B39" s="34">
        <v>1</v>
      </c>
      <c r="C39" s="34">
        <v>158</v>
      </c>
      <c r="D39" s="34">
        <v>158</v>
      </c>
      <c r="E39" s="34">
        <v>158</v>
      </c>
      <c r="F39" s="34">
        <v>158</v>
      </c>
      <c r="G39" s="34">
        <v>158</v>
      </c>
      <c r="H39" s="34">
        <v>158</v>
      </c>
      <c r="I39" s="34">
        <v>158</v>
      </c>
      <c r="J39" s="35">
        <v>0</v>
      </c>
      <c r="K39" s="36">
        <v>6.32911</v>
      </c>
      <c r="L39" s="37">
        <v>6.06</v>
      </c>
      <c r="M39" s="34">
        <v>2.13</v>
      </c>
      <c r="N39" s="52" t="str">
        <f t="shared" ref="N39:O42" si="4">C39&amp;" ("&amp;TEXT(C39/1000,"0.000")&amp;" secs)"</f>
        <v>158 (0.158 secs)</v>
      </c>
      <c r="O39" s="52" t="str">
        <f t="shared" si="4"/>
        <v>158 (0.158 secs)</v>
      </c>
      <c r="P39" s="52" t="str">
        <f t="shared" si="3"/>
        <v>158 (0.158 secs)</v>
      </c>
      <c r="Q39" s="52" t="str">
        <f t="shared" si="3"/>
        <v>158 (0.158 secs)</v>
      </c>
      <c r="R39" s="52" t="str">
        <f t="shared" si="3"/>
        <v>158 (0.158 secs)</v>
      </c>
      <c r="S39" s="162" t="str">
        <f t="shared" si="3"/>
        <v>158 (0.158 secs)</v>
      </c>
      <c r="T39" s="52" t="str">
        <f t="shared" si="3"/>
        <v>158 (0.158 secs)</v>
      </c>
      <c r="U39" s="71"/>
      <c r="V39"/>
      <c r="W39"/>
      <c r="X39"/>
      <c r="Y39"/>
    </row>
    <row r="40" spans="1:26">
      <c r="A40" s="33" t="s">
        <v>39</v>
      </c>
      <c r="B40" s="34">
        <v>1</v>
      </c>
      <c r="C40" s="34">
        <v>153</v>
      </c>
      <c r="D40" s="34">
        <v>153</v>
      </c>
      <c r="E40" s="34">
        <v>153</v>
      </c>
      <c r="F40" s="34">
        <v>153</v>
      </c>
      <c r="G40" s="34">
        <v>153</v>
      </c>
      <c r="H40" s="34">
        <v>153</v>
      </c>
      <c r="I40" s="34">
        <v>153</v>
      </c>
      <c r="J40" s="35">
        <v>0</v>
      </c>
      <c r="K40" s="36">
        <v>6.5359499999999997</v>
      </c>
      <c r="L40" s="37">
        <v>1.6</v>
      </c>
      <c r="M40" s="34">
        <v>2.46</v>
      </c>
      <c r="N40" s="52" t="str">
        <f t="shared" si="4"/>
        <v>153 (0.153 secs)</v>
      </c>
      <c r="O40" s="52" t="str">
        <f t="shared" si="4"/>
        <v>153 (0.153 secs)</v>
      </c>
      <c r="P40" s="52" t="str">
        <f t="shared" si="3"/>
        <v>153 (0.153 secs)</v>
      </c>
      <c r="Q40" s="52" t="str">
        <f t="shared" si="3"/>
        <v>153 (0.153 secs)</v>
      </c>
      <c r="R40" s="52" t="str">
        <f t="shared" si="3"/>
        <v>153 (0.153 secs)</v>
      </c>
      <c r="S40" s="162" t="str">
        <f t="shared" si="3"/>
        <v>153 (0.153 secs)</v>
      </c>
      <c r="T40" s="52" t="str">
        <f t="shared" si="3"/>
        <v>153 (0.153 secs)</v>
      </c>
      <c r="U40" s="71"/>
      <c r="V40" s="32"/>
      <c r="W40" s="32"/>
      <c r="X40" s="32"/>
      <c r="Y40" s="32"/>
      <c r="Z40" s="32"/>
    </row>
    <row r="41" spans="1:26">
      <c r="A41" s="33" t="s">
        <v>40</v>
      </c>
      <c r="B41" s="34">
        <v>1</v>
      </c>
      <c r="C41" s="34">
        <v>149</v>
      </c>
      <c r="D41" s="34">
        <v>149</v>
      </c>
      <c r="E41" s="34">
        <v>149</v>
      </c>
      <c r="F41" s="34">
        <v>149</v>
      </c>
      <c r="G41" s="34">
        <v>149</v>
      </c>
      <c r="H41" s="34">
        <v>149</v>
      </c>
      <c r="I41" s="34">
        <v>149</v>
      </c>
      <c r="J41" s="35">
        <v>0</v>
      </c>
      <c r="K41" s="36">
        <v>6.7114099999999999</v>
      </c>
      <c r="L41" s="37">
        <v>3.66</v>
      </c>
      <c r="M41" s="34">
        <v>2.42</v>
      </c>
      <c r="N41" s="52" t="str">
        <f t="shared" si="4"/>
        <v>149 (0.149 secs)</v>
      </c>
      <c r="O41" s="52" t="str">
        <f t="shared" si="4"/>
        <v>149 (0.149 secs)</v>
      </c>
      <c r="P41" s="52" t="str">
        <f t="shared" si="3"/>
        <v>149 (0.149 secs)</v>
      </c>
      <c r="Q41" s="52" t="str">
        <f t="shared" si="3"/>
        <v>149 (0.149 secs)</v>
      </c>
      <c r="R41" s="52" t="str">
        <f t="shared" si="3"/>
        <v>149 (0.149 secs)</v>
      </c>
      <c r="S41" s="162" t="str">
        <f t="shared" si="3"/>
        <v>149 (0.149 secs)</v>
      </c>
      <c r="T41" s="52" t="str">
        <f t="shared" si="3"/>
        <v>149 (0.149 secs)</v>
      </c>
      <c r="U41" s="71"/>
      <c r="V41"/>
      <c r="W41"/>
      <c r="X41"/>
      <c r="Y41"/>
    </row>
    <row r="42" spans="1:26" ht="15" thickBot="1">
      <c r="A42" s="38" t="s">
        <v>128</v>
      </c>
      <c r="B42" s="39">
        <v>4</v>
      </c>
      <c r="C42" s="39">
        <v>321</v>
      </c>
      <c r="D42" s="39">
        <v>153</v>
      </c>
      <c r="E42" s="39">
        <v>826</v>
      </c>
      <c r="F42" s="39">
        <v>826</v>
      </c>
      <c r="G42" s="39">
        <v>826</v>
      </c>
      <c r="H42" s="39">
        <v>149</v>
      </c>
      <c r="I42" s="39">
        <v>826</v>
      </c>
      <c r="J42" s="40">
        <v>0</v>
      </c>
      <c r="K42" s="41">
        <v>3.02115</v>
      </c>
      <c r="L42" s="42">
        <v>1.47</v>
      </c>
      <c r="M42" s="39">
        <v>1.1399999999999999</v>
      </c>
      <c r="N42" s="53" t="str">
        <f t="shared" si="4"/>
        <v>321 (0.321 secs)</v>
      </c>
      <c r="O42" s="53" t="str">
        <f t="shared" si="4"/>
        <v>153 (0.153 secs)</v>
      </c>
      <c r="P42" s="53" t="str">
        <f t="shared" si="3"/>
        <v>826 (0.826 secs)</v>
      </c>
      <c r="Q42" s="53" t="str">
        <f t="shared" si="3"/>
        <v>826 (0.826 secs)</v>
      </c>
      <c r="R42" s="53" t="str">
        <f t="shared" si="3"/>
        <v>826 (0.826 secs)</v>
      </c>
      <c r="S42" s="163" t="str">
        <f t="shared" si="3"/>
        <v>149 (0.149 secs)</v>
      </c>
      <c r="T42" s="53" t="str">
        <f t="shared" si="3"/>
        <v>826 (0.826 secs)</v>
      </c>
      <c r="U42" s="72"/>
      <c r="V42"/>
      <c r="W42"/>
      <c r="X42"/>
      <c r="Y42"/>
    </row>
    <row r="43" spans="1:26">
      <c r="V43"/>
      <c r="W43"/>
      <c r="X43"/>
      <c r="Y43"/>
    </row>
    <row r="44" spans="1:26">
      <c r="A44" s="21" t="s">
        <v>43</v>
      </c>
      <c r="B44" s="22" t="s">
        <v>44</v>
      </c>
      <c r="C44" s="25"/>
      <c r="D44" s="24"/>
      <c r="E44" s="25"/>
      <c r="F44" s="25"/>
      <c r="G44" s="25"/>
      <c r="H44" s="25"/>
      <c r="I44" s="25"/>
      <c r="J44" s="25"/>
      <c r="K44" s="25"/>
      <c r="N44" s="1"/>
      <c r="O44" s="9"/>
      <c r="P44" s="9"/>
      <c r="Q44" s="9"/>
      <c r="R44" s="9"/>
      <c r="S44" s="9"/>
      <c r="T44" s="9"/>
      <c r="U44" s="9"/>
      <c r="V44"/>
      <c r="W44"/>
      <c r="X44"/>
      <c r="Y44"/>
    </row>
    <row r="45" spans="1:26">
      <c r="A45" s="48" t="s">
        <v>13</v>
      </c>
      <c r="B45" s="27" t="s">
        <v>193</v>
      </c>
      <c r="C45" s="24"/>
      <c r="D45" s="24"/>
      <c r="E45" s="25"/>
      <c r="F45" s="25"/>
      <c r="G45" s="25"/>
      <c r="H45" s="25"/>
      <c r="I45" s="25"/>
      <c r="J45" s="25"/>
      <c r="K45" s="25"/>
      <c r="N45" s="1"/>
      <c r="O45" s="9"/>
      <c r="P45" s="9"/>
      <c r="Q45" s="9"/>
      <c r="R45" s="9"/>
      <c r="S45" s="9"/>
      <c r="T45" s="9"/>
      <c r="U45" s="9"/>
      <c r="V45" s="32"/>
      <c r="W45" s="32"/>
      <c r="X45" s="32"/>
      <c r="Y45" s="32"/>
      <c r="Z45" s="32"/>
    </row>
    <row r="46" spans="1:26">
      <c r="A46" s="49"/>
      <c r="B46" s="5"/>
      <c r="D46" s="9"/>
      <c r="N46" s="1"/>
      <c r="O46" s="9"/>
      <c r="P46" s="9"/>
      <c r="Q46" s="9"/>
      <c r="R46" s="9"/>
      <c r="S46" s="9"/>
      <c r="T46" s="9"/>
      <c r="U46" s="9"/>
      <c r="V46"/>
      <c r="W46"/>
      <c r="X46"/>
      <c r="Y46"/>
    </row>
    <row r="47" spans="1:26">
      <c r="A47" s="30" t="s">
        <v>114</v>
      </c>
      <c r="B47" s="31" t="s">
        <v>115</v>
      </c>
      <c r="C47" s="31" t="s">
        <v>116</v>
      </c>
      <c r="D47" s="31" t="s">
        <v>117</v>
      </c>
      <c r="E47" s="31" t="s">
        <v>118</v>
      </c>
      <c r="F47" s="31" t="s">
        <v>119</v>
      </c>
      <c r="G47" s="31" t="s">
        <v>120</v>
      </c>
      <c r="H47" s="31" t="s">
        <v>121</v>
      </c>
      <c r="I47" s="31" t="s">
        <v>122</v>
      </c>
      <c r="J47" s="31" t="s">
        <v>123</v>
      </c>
      <c r="K47" s="31" t="s">
        <v>143</v>
      </c>
      <c r="L47" s="31" t="s">
        <v>125</v>
      </c>
      <c r="M47" s="31" t="s">
        <v>126</v>
      </c>
      <c r="N47" s="31" t="s">
        <v>116</v>
      </c>
      <c r="O47" s="31" t="s">
        <v>117</v>
      </c>
      <c r="P47" s="31" t="s">
        <v>118</v>
      </c>
      <c r="Q47" s="31" t="s">
        <v>119</v>
      </c>
      <c r="R47" s="31" t="s">
        <v>120</v>
      </c>
      <c r="S47" s="31" t="s">
        <v>121</v>
      </c>
      <c r="T47" s="31" t="s">
        <v>122</v>
      </c>
      <c r="U47" s="31" t="s">
        <v>127</v>
      </c>
      <c r="V47"/>
      <c r="W47"/>
      <c r="X47"/>
      <c r="Y47"/>
    </row>
    <row r="48" spans="1:26">
      <c r="A48" s="33" t="s">
        <v>33</v>
      </c>
      <c r="B48" s="34">
        <v>1</v>
      </c>
      <c r="C48" s="34">
        <v>995</v>
      </c>
      <c r="D48" s="34">
        <v>995</v>
      </c>
      <c r="E48" s="34">
        <v>995</v>
      </c>
      <c r="F48" s="34">
        <v>995</v>
      </c>
      <c r="G48" s="34">
        <v>995</v>
      </c>
      <c r="H48" s="34">
        <v>995</v>
      </c>
      <c r="I48" s="34">
        <v>995</v>
      </c>
      <c r="J48" s="35">
        <v>0</v>
      </c>
      <c r="K48" s="36">
        <v>1.0050300000000001</v>
      </c>
      <c r="L48" s="37">
        <v>0.2</v>
      </c>
      <c r="M48" s="34">
        <v>0.44</v>
      </c>
      <c r="N48" s="52" t="str">
        <f>C48&amp;" ("&amp;TEXT(C48/1000,"0.000")&amp;" secs)"</f>
        <v>995 (0.995 secs)</v>
      </c>
      <c r="O48" s="52" t="str">
        <f>D48&amp;" ("&amp;TEXT(D48/1000,"0.000")&amp;" secs)"</f>
        <v>995 (0.995 secs)</v>
      </c>
      <c r="P48" s="52" t="str">
        <f t="shared" ref="P48:T52" si="5">E48&amp;" ("&amp;TEXT(E48/1000,"0.000")&amp;" secs)"</f>
        <v>995 (0.995 secs)</v>
      </c>
      <c r="Q48" s="52" t="str">
        <f t="shared" si="5"/>
        <v>995 (0.995 secs)</v>
      </c>
      <c r="R48" s="52" t="str">
        <f t="shared" si="5"/>
        <v>995 (0.995 secs)</v>
      </c>
      <c r="S48" s="162" t="str">
        <f t="shared" si="5"/>
        <v>995 (0.995 secs)</v>
      </c>
      <c r="T48" s="52" t="str">
        <f t="shared" si="5"/>
        <v>995 (0.995 secs)</v>
      </c>
      <c r="U48" s="71"/>
      <c r="V48"/>
      <c r="W48"/>
      <c r="X48"/>
      <c r="Y48"/>
    </row>
    <row r="49" spans="1:26">
      <c r="A49" s="33" t="s">
        <v>38</v>
      </c>
      <c r="B49" s="34">
        <v>1</v>
      </c>
      <c r="C49" s="34">
        <v>154</v>
      </c>
      <c r="D49" s="34">
        <v>154</v>
      </c>
      <c r="E49" s="34">
        <v>154</v>
      </c>
      <c r="F49" s="34">
        <v>154</v>
      </c>
      <c r="G49" s="34">
        <v>154</v>
      </c>
      <c r="H49" s="34">
        <v>154</v>
      </c>
      <c r="I49" s="34">
        <v>154</v>
      </c>
      <c r="J49" s="35">
        <v>0</v>
      </c>
      <c r="K49" s="36">
        <v>6.4935099999999997</v>
      </c>
      <c r="L49" s="37">
        <v>8.59</v>
      </c>
      <c r="M49" s="34">
        <v>2.1800000000000002</v>
      </c>
      <c r="N49" s="52" t="str">
        <f t="shared" ref="N49:O52" si="6">C49&amp;" ("&amp;TEXT(C49/1000,"0.000")&amp;" secs)"</f>
        <v>154 (0.154 secs)</v>
      </c>
      <c r="O49" s="52" t="str">
        <f t="shared" si="6"/>
        <v>154 (0.154 secs)</v>
      </c>
      <c r="P49" s="52" t="str">
        <f t="shared" si="5"/>
        <v>154 (0.154 secs)</v>
      </c>
      <c r="Q49" s="52" t="str">
        <f t="shared" si="5"/>
        <v>154 (0.154 secs)</v>
      </c>
      <c r="R49" s="52" t="str">
        <f t="shared" si="5"/>
        <v>154 (0.154 secs)</v>
      </c>
      <c r="S49" s="162" t="str">
        <f t="shared" si="5"/>
        <v>154 (0.154 secs)</v>
      </c>
      <c r="T49" s="52" t="str">
        <f t="shared" si="5"/>
        <v>154 (0.154 secs)</v>
      </c>
      <c r="U49" s="71"/>
      <c r="V49"/>
      <c r="W49"/>
      <c r="X49"/>
      <c r="Y49"/>
    </row>
    <row r="50" spans="1:26">
      <c r="A50" s="33" t="s">
        <v>39</v>
      </c>
      <c r="B50" s="34">
        <v>1</v>
      </c>
      <c r="C50" s="34">
        <v>150</v>
      </c>
      <c r="D50" s="34">
        <v>150</v>
      </c>
      <c r="E50" s="34">
        <v>150</v>
      </c>
      <c r="F50" s="34">
        <v>150</v>
      </c>
      <c r="G50" s="34">
        <v>150</v>
      </c>
      <c r="H50" s="34">
        <v>150</v>
      </c>
      <c r="I50" s="34">
        <v>150</v>
      </c>
      <c r="J50" s="35">
        <v>0</v>
      </c>
      <c r="K50" s="36">
        <v>6.6666699999999999</v>
      </c>
      <c r="L50" s="37">
        <v>1.6</v>
      </c>
      <c r="M50" s="34">
        <v>2.5099999999999998</v>
      </c>
      <c r="N50" s="52" t="str">
        <f t="shared" si="6"/>
        <v>150 (0.150 secs)</v>
      </c>
      <c r="O50" s="52" t="str">
        <f t="shared" si="6"/>
        <v>150 (0.150 secs)</v>
      </c>
      <c r="P50" s="52" t="str">
        <f t="shared" si="5"/>
        <v>150 (0.150 secs)</v>
      </c>
      <c r="Q50" s="52" t="str">
        <f t="shared" si="5"/>
        <v>150 (0.150 secs)</v>
      </c>
      <c r="R50" s="52" t="str">
        <f t="shared" si="5"/>
        <v>150 (0.150 secs)</v>
      </c>
      <c r="S50" s="162" t="str">
        <f t="shared" si="5"/>
        <v>150 (0.150 secs)</v>
      </c>
      <c r="T50" s="52" t="str">
        <f t="shared" si="5"/>
        <v>150 (0.150 secs)</v>
      </c>
      <c r="U50" s="71"/>
      <c r="V50" s="32"/>
      <c r="W50" s="32"/>
      <c r="X50" s="32"/>
      <c r="Y50" s="32"/>
      <c r="Z50" s="32"/>
    </row>
    <row r="51" spans="1:26">
      <c r="A51" s="33" t="s">
        <v>40</v>
      </c>
      <c r="B51" s="34">
        <v>1</v>
      </c>
      <c r="C51" s="34">
        <v>157</v>
      </c>
      <c r="D51" s="34">
        <v>157</v>
      </c>
      <c r="E51" s="34">
        <v>157</v>
      </c>
      <c r="F51" s="34">
        <v>157</v>
      </c>
      <c r="G51" s="34">
        <v>157</v>
      </c>
      <c r="H51" s="34">
        <v>157</v>
      </c>
      <c r="I51" s="34">
        <v>157</v>
      </c>
      <c r="J51" s="35">
        <v>0</v>
      </c>
      <c r="K51" s="36">
        <v>6.3694300000000004</v>
      </c>
      <c r="L51" s="37">
        <v>2.5499999999999998</v>
      </c>
      <c r="M51" s="34">
        <v>2.2999999999999998</v>
      </c>
      <c r="N51" s="52" t="str">
        <f t="shared" si="6"/>
        <v>157 (0.157 secs)</v>
      </c>
      <c r="O51" s="52" t="str">
        <f t="shared" si="6"/>
        <v>157 (0.157 secs)</v>
      </c>
      <c r="P51" s="52" t="str">
        <f t="shared" si="5"/>
        <v>157 (0.157 secs)</v>
      </c>
      <c r="Q51" s="52" t="str">
        <f t="shared" si="5"/>
        <v>157 (0.157 secs)</v>
      </c>
      <c r="R51" s="52" t="str">
        <f t="shared" si="5"/>
        <v>157 (0.157 secs)</v>
      </c>
      <c r="S51" s="162" t="str">
        <f t="shared" si="5"/>
        <v>157 (0.157 secs)</v>
      </c>
      <c r="T51" s="52" t="str">
        <f t="shared" si="5"/>
        <v>157 (0.157 secs)</v>
      </c>
      <c r="U51" s="71"/>
      <c r="V51"/>
      <c r="W51"/>
      <c r="X51"/>
      <c r="Y51"/>
    </row>
    <row r="52" spans="1:26" ht="15" thickBot="1">
      <c r="A52" s="38" t="s">
        <v>128</v>
      </c>
      <c r="B52" s="39">
        <v>4</v>
      </c>
      <c r="C52" s="39">
        <v>364</v>
      </c>
      <c r="D52" s="39">
        <v>154</v>
      </c>
      <c r="E52" s="39">
        <v>995</v>
      </c>
      <c r="F52" s="39">
        <v>995</v>
      </c>
      <c r="G52" s="39">
        <v>995</v>
      </c>
      <c r="H52" s="39">
        <v>150</v>
      </c>
      <c r="I52" s="39">
        <v>995</v>
      </c>
      <c r="J52" s="40">
        <v>0</v>
      </c>
      <c r="K52" s="41">
        <v>2.7045300000000001</v>
      </c>
      <c r="L52" s="42">
        <v>1.46</v>
      </c>
      <c r="M52" s="39">
        <v>1.02</v>
      </c>
      <c r="N52" s="53" t="str">
        <f t="shared" si="6"/>
        <v>364 (0.364 secs)</v>
      </c>
      <c r="O52" s="53" t="str">
        <f t="shared" si="6"/>
        <v>154 (0.154 secs)</v>
      </c>
      <c r="P52" s="53" t="str">
        <f t="shared" si="5"/>
        <v>995 (0.995 secs)</v>
      </c>
      <c r="Q52" s="53" t="str">
        <f t="shared" si="5"/>
        <v>995 (0.995 secs)</v>
      </c>
      <c r="R52" s="53" t="str">
        <f t="shared" si="5"/>
        <v>995 (0.995 secs)</v>
      </c>
      <c r="S52" s="163" t="str">
        <f t="shared" si="5"/>
        <v>150 (0.150 secs)</v>
      </c>
      <c r="T52" s="53" t="str">
        <f t="shared" si="5"/>
        <v>995 (0.995 secs)</v>
      </c>
      <c r="U52" s="72"/>
      <c r="V52"/>
      <c r="W52"/>
      <c r="X52"/>
      <c r="Y52"/>
    </row>
    <row r="53" spans="1:26">
      <c r="V53"/>
      <c r="W53"/>
      <c r="X53"/>
      <c r="Y53"/>
    </row>
    <row r="54" spans="1:26">
      <c r="A54" s="21" t="s">
        <v>46</v>
      </c>
      <c r="B54" s="22" t="s">
        <v>47</v>
      </c>
      <c r="C54" s="25"/>
      <c r="D54" s="24"/>
      <c r="E54" s="25"/>
      <c r="F54" s="25"/>
      <c r="G54" s="25"/>
      <c r="H54" s="25"/>
      <c r="I54" s="25"/>
      <c r="J54" s="25"/>
      <c r="K54" s="25"/>
      <c r="N54" s="1"/>
      <c r="O54" s="9"/>
      <c r="P54" s="9"/>
      <c r="Q54" s="9"/>
      <c r="R54" s="9"/>
      <c r="S54" s="9"/>
      <c r="T54" s="9"/>
      <c r="U54" s="9"/>
      <c r="V54"/>
      <c r="W54"/>
      <c r="X54"/>
      <c r="Y54"/>
    </row>
    <row r="55" spans="1:26">
      <c r="A55" s="48" t="s">
        <v>13</v>
      </c>
      <c r="B55" s="27" t="s">
        <v>194</v>
      </c>
      <c r="C55" s="24"/>
      <c r="D55" s="24"/>
      <c r="E55" s="25"/>
      <c r="F55" s="25"/>
      <c r="G55" s="25"/>
      <c r="H55" s="25"/>
      <c r="I55" s="25"/>
      <c r="J55" s="25"/>
      <c r="K55" s="25"/>
      <c r="N55" s="1"/>
      <c r="O55" s="9"/>
      <c r="P55" s="9"/>
      <c r="Q55" s="9"/>
      <c r="R55" s="9"/>
      <c r="S55" s="9"/>
      <c r="T55" s="9"/>
      <c r="U55" s="9"/>
      <c r="V55" s="32"/>
      <c r="W55" s="32"/>
      <c r="X55" s="32"/>
      <c r="Y55" s="32"/>
      <c r="Z55" s="32"/>
    </row>
    <row r="56" spans="1:26">
      <c r="A56" s="49"/>
      <c r="B56" s="5"/>
      <c r="D56" s="9"/>
      <c r="N56" s="1"/>
      <c r="O56" s="9"/>
      <c r="P56" s="9"/>
      <c r="Q56" s="9"/>
      <c r="R56" s="9"/>
      <c r="S56" s="9"/>
      <c r="T56" s="9"/>
      <c r="U56" s="9"/>
      <c r="V56"/>
      <c r="W56"/>
      <c r="X56"/>
      <c r="Y56"/>
    </row>
    <row r="57" spans="1:26">
      <c r="A57" s="30" t="s">
        <v>114</v>
      </c>
      <c r="B57" s="31" t="s">
        <v>115</v>
      </c>
      <c r="C57" s="31" t="s">
        <v>116</v>
      </c>
      <c r="D57" s="31" t="s">
        <v>117</v>
      </c>
      <c r="E57" s="31" t="s">
        <v>118</v>
      </c>
      <c r="F57" s="31" t="s">
        <v>119</v>
      </c>
      <c r="G57" s="31" t="s">
        <v>120</v>
      </c>
      <c r="H57" s="31" t="s">
        <v>121</v>
      </c>
      <c r="I57" s="31" t="s">
        <v>122</v>
      </c>
      <c r="J57" s="31" t="s">
        <v>123</v>
      </c>
      <c r="K57" s="31" t="s">
        <v>143</v>
      </c>
      <c r="L57" s="31" t="s">
        <v>125</v>
      </c>
      <c r="M57" s="31" t="s">
        <v>126</v>
      </c>
      <c r="N57" s="31" t="s">
        <v>116</v>
      </c>
      <c r="O57" s="31" t="s">
        <v>117</v>
      </c>
      <c r="P57" s="31" t="s">
        <v>118</v>
      </c>
      <c r="Q57" s="31" t="s">
        <v>119</v>
      </c>
      <c r="R57" s="31" t="s">
        <v>120</v>
      </c>
      <c r="S57" s="31" t="s">
        <v>121</v>
      </c>
      <c r="T57" s="31" t="s">
        <v>122</v>
      </c>
      <c r="U57" s="31" t="s">
        <v>127</v>
      </c>
      <c r="V57"/>
      <c r="W57"/>
      <c r="X57"/>
      <c r="Y57"/>
    </row>
    <row r="58" spans="1:26">
      <c r="A58" s="33" t="s">
        <v>33</v>
      </c>
      <c r="B58" s="34">
        <v>1</v>
      </c>
      <c r="C58" s="34">
        <v>1562</v>
      </c>
      <c r="D58" s="34">
        <v>1562</v>
      </c>
      <c r="E58" s="34">
        <v>1562</v>
      </c>
      <c r="F58" s="34">
        <v>1562</v>
      </c>
      <c r="G58" s="34">
        <v>1562</v>
      </c>
      <c r="H58" s="34">
        <v>1562</v>
      </c>
      <c r="I58" s="34">
        <v>1562</v>
      </c>
      <c r="J58" s="35">
        <v>0</v>
      </c>
      <c r="K58" s="36">
        <v>0.64019999999999999</v>
      </c>
      <c r="L58" s="37">
        <v>0.13</v>
      </c>
      <c r="M58" s="34">
        <v>0.28000000000000003</v>
      </c>
      <c r="N58" s="52" t="str">
        <f>C58&amp;" ("&amp;TEXT(C58/1000,"0.000")&amp;" secs)"</f>
        <v>1562 (1.562 secs)</v>
      </c>
      <c r="O58" s="52" t="str">
        <f>D58&amp;" ("&amp;TEXT(D58/1000,"0.000")&amp;" secs)"</f>
        <v>1562 (1.562 secs)</v>
      </c>
      <c r="P58" s="52" t="str">
        <f t="shared" ref="P58:T62" si="7">E58&amp;" ("&amp;TEXT(E58/1000,"0.000")&amp;" secs)"</f>
        <v>1562 (1.562 secs)</v>
      </c>
      <c r="Q58" s="52" t="str">
        <f t="shared" si="7"/>
        <v>1562 (1.562 secs)</v>
      </c>
      <c r="R58" s="52" t="str">
        <f t="shared" si="7"/>
        <v>1562 (1.562 secs)</v>
      </c>
      <c r="S58" s="162" t="str">
        <f t="shared" si="7"/>
        <v>1562 (1.562 secs)</v>
      </c>
      <c r="T58" s="52" t="str">
        <f t="shared" si="7"/>
        <v>1562 (1.562 secs)</v>
      </c>
      <c r="U58" s="71"/>
      <c r="V58"/>
      <c r="W58"/>
      <c r="X58"/>
      <c r="Y58"/>
    </row>
    <row r="59" spans="1:26">
      <c r="A59" s="33" t="s">
        <v>38</v>
      </c>
      <c r="B59" s="34">
        <v>1</v>
      </c>
      <c r="C59" s="34">
        <v>147</v>
      </c>
      <c r="D59" s="34">
        <v>147</v>
      </c>
      <c r="E59" s="34">
        <v>147</v>
      </c>
      <c r="F59" s="34">
        <v>147</v>
      </c>
      <c r="G59" s="34">
        <v>147</v>
      </c>
      <c r="H59" s="34">
        <v>147</v>
      </c>
      <c r="I59" s="34">
        <v>147</v>
      </c>
      <c r="J59" s="35">
        <v>0</v>
      </c>
      <c r="K59" s="36">
        <v>6.8027199999999999</v>
      </c>
      <c r="L59" s="37">
        <v>11.49</v>
      </c>
      <c r="M59" s="34">
        <v>2.29</v>
      </c>
      <c r="N59" s="52" t="str">
        <f t="shared" ref="N59:O62" si="8">C59&amp;" ("&amp;TEXT(C59/1000,"0.000")&amp;" secs)"</f>
        <v>147 (0.147 secs)</v>
      </c>
      <c r="O59" s="52" t="str">
        <f t="shared" si="8"/>
        <v>147 (0.147 secs)</v>
      </c>
      <c r="P59" s="52" t="str">
        <f t="shared" si="7"/>
        <v>147 (0.147 secs)</v>
      </c>
      <c r="Q59" s="52" t="str">
        <f t="shared" si="7"/>
        <v>147 (0.147 secs)</v>
      </c>
      <c r="R59" s="52" t="str">
        <f t="shared" si="7"/>
        <v>147 (0.147 secs)</v>
      </c>
      <c r="S59" s="162" t="str">
        <f t="shared" si="7"/>
        <v>147 (0.147 secs)</v>
      </c>
      <c r="T59" s="52" t="str">
        <f t="shared" si="7"/>
        <v>147 (0.147 secs)</v>
      </c>
      <c r="U59" s="71"/>
      <c r="V59"/>
      <c r="W59"/>
      <c r="X59"/>
      <c r="Y59"/>
    </row>
    <row r="60" spans="1:26">
      <c r="A60" s="33" t="s">
        <v>39</v>
      </c>
      <c r="B60" s="34">
        <v>1</v>
      </c>
      <c r="C60" s="34">
        <v>155</v>
      </c>
      <c r="D60" s="34">
        <v>155</v>
      </c>
      <c r="E60" s="34">
        <v>155</v>
      </c>
      <c r="F60" s="34">
        <v>155</v>
      </c>
      <c r="G60" s="34">
        <v>155</v>
      </c>
      <c r="H60" s="34">
        <v>155</v>
      </c>
      <c r="I60" s="34">
        <v>155</v>
      </c>
      <c r="J60" s="35">
        <v>0</v>
      </c>
      <c r="K60" s="36">
        <v>6.4516099999999996</v>
      </c>
      <c r="L60" s="37">
        <v>1.66</v>
      </c>
      <c r="M60" s="34">
        <v>2.4300000000000002</v>
      </c>
      <c r="N60" s="52" t="str">
        <f t="shared" si="8"/>
        <v>155 (0.155 secs)</v>
      </c>
      <c r="O60" s="52" t="str">
        <f t="shared" si="8"/>
        <v>155 (0.155 secs)</v>
      </c>
      <c r="P60" s="52" t="str">
        <f t="shared" si="7"/>
        <v>155 (0.155 secs)</v>
      </c>
      <c r="Q60" s="52" t="str">
        <f t="shared" si="7"/>
        <v>155 (0.155 secs)</v>
      </c>
      <c r="R60" s="52" t="str">
        <f t="shared" si="7"/>
        <v>155 (0.155 secs)</v>
      </c>
      <c r="S60" s="162" t="str">
        <f t="shared" si="7"/>
        <v>155 (0.155 secs)</v>
      </c>
      <c r="T60" s="52" t="str">
        <f t="shared" si="7"/>
        <v>155 (0.155 secs)</v>
      </c>
      <c r="U60" s="71"/>
      <c r="V60" s="32"/>
      <c r="W60" s="32"/>
      <c r="X60" s="32"/>
      <c r="Y60" s="32"/>
      <c r="Z60" s="32"/>
    </row>
    <row r="61" spans="1:26">
      <c r="A61" s="33" t="s">
        <v>40</v>
      </c>
      <c r="B61" s="34">
        <v>1</v>
      </c>
      <c r="C61" s="34">
        <v>164</v>
      </c>
      <c r="D61" s="34">
        <v>164</v>
      </c>
      <c r="E61" s="34">
        <v>164</v>
      </c>
      <c r="F61" s="34">
        <v>164</v>
      </c>
      <c r="G61" s="34">
        <v>164</v>
      </c>
      <c r="H61" s="34">
        <v>164</v>
      </c>
      <c r="I61" s="34">
        <v>164</v>
      </c>
      <c r="J61" s="35">
        <v>0</v>
      </c>
      <c r="K61" s="36">
        <v>6.0975599999999996</v>
      </c>
      <c r="L61" s="37">
        <v>1.9</v>
      </c>
      <c r="M61" s="34">
        <v>2.2000000000000002</v>
      </c>
      <c r="N61" s="52" t="str">
        <f t="shared" si="8"/>
        <v>164 (0.164 secs)</v>
      </c>
      <c r="O61" s="52" t="str">
        <f t="shared" si="8"/>
        <v>164 (0.164 secs)</v>
      </c>
      <c r="P61" s="52" t="str">
        <f t="shared" si="7"/>
        <v>164 (0.164 secs)</v>
      </c>
      <c r="Q61" s="52" t="str">
        <f t="shared" si="7"/>
        <v>164 (0.164 secs)</v>
      </c>
      <c r="R61" s="52" t="str">
        <f t="shared" si="7"/>
        <v>164 (0.164 secs)</v>
      </c>
      <c r="S61" s="162" t="str">
        <f t="shared" si="7"/>
        <v>164 (0.164 secs)</v>
      </c>
      <c r="T61" s="52" t="str">
        <f t="shared" si="7"/>
        <v>164 (0.164 secs)</v>
      </c>
      <c r="U61" s="71"/>
      <c r="V61"/>
      <c r="W61"/>
      <c r="X61"/>
      <c r="Y61"/>
    </row>
    <row r="62" spans="1:26" ht="15" thickBot="1">
      <c r="A62" s="38" t="s">
        <v>128</v>
      </c>
      <c r="B62" s="39">
        <v>4</v>
      </c>
      <c r="C62" s="39">
        <v>507</v>
      </c>
      <c r="D62" s="39">
        <v>155</v>
      </c>
      <c r="E62" s="39">
        <v>1562</v>
      </c>
      <c r="F62" s="39">
        <v>1562</v>
      </c>
      <c r="G62" s="39">
        <v>1562</v>
      </c>
      <c r="H62" s="39">
        <v>147</v>
      </c>
      <c r="I62" s="39">
        <v>1562</v>
      </c>
      <c r="J62" s="40">
        <v>0</v>
      </c>
      <c r="K62" s="41">
        <v>1.93892</v>
      </c>
      <c r="L62" s="42">
        <v>1.19</v>
      </c>
      <c r="M62" s="39">
        <v>0.74</v>
      </c>
      <c r="N62" s="53" t="str">
        <f t="shared" si="8"/>
        <v>507 (0.507 secs)</v>
      </c>
      <c r="O62" s="53" t="str">
        <f t="shared" si="8"/>
        <v>155 (0.155 secs)</v>
      </c>
      <c r="P62" s="53" t="str">
        <f t="shared" si="7"/>
        <v>1562 (1.562 secs)</v>
      </c>
      <c r="Q62" s="53" t="str">
        <f t="shared" si="7"/>
        <v>1562 (1.562 secs)</v>
      </c>
      <c r="R62" s="53" t="str">
        <f t="shared" si="7"/>
        <v>1562 (1.562 secs)</v>
      </c>
      <c r="S62" s="163" t="str">
        <f t="shared" si="7"/>
        <v>147 (0.147 secs)</v>
      </c>
      <c r="T62" s="53" t="str">
        <f t="shared" si="7"/>
        <v>1562 (1.562 secs)</v>
      </c>
      <c r="U62" s="72"/>
      <c r="V62"/>
      <c r="W62"/>
      <c r="X62"/>
      <c r="Y62"/>
    </row>
    <row r="63" spans="1:26">
      <c r="V63"/>
      <c r="W63"/>
      <c r="X63"/>
      <c r="Y63"/>
    </row>
    <row r="64" spans="1:26">
      <c r="A64" s="21" t="s">
        <v>49</v>
      </c>
      <c r="B64" s="22" t="s">
        <v>50</v>
      </c>
      <c r="C64" s="25"/>
      <c r="D64" s="24"/>
      <c r="E64" s="25"/>
      <c r="F64" s="25"/>
      <c r="G64" s="25"/>
      <c r="H64" s="25"/>
      <c r="I64" s="25"/>
      <c r="J64" s="25"/>
      <c r="K64" s="25"/>
      <c r="N64" s="1"/>
      <c r="O64" s="9"/>
      <c r="P64" s="9"/>
      <c r="Q64" s="9"/>
      <c r="R64" s="9"/>
      <c r="S64" s="9"/>
      <c r="T64" s="9"/>
      <c r="U64" s="9"/>
      <c r="V64"/>
      <c r="W64"/>
      <c r="X64"/>
      <c r="Y64"/>
    </row>
    <row r="65" spans="1:26">
      <c r="A65" s="48" t="s">
        <v>13</v>
      </c>
      <c r="B65" s="27" t="s">
        <v>195</v>
      </c>
      <c r="C65" s="24"/>
      <c r="D65" s="24"/>
      <c r="E65" s="25"/>
      <c r="F65" s="25"/>
      <c r="G65" s="25"/>
      <c r="H65" s="25"/>
      <c r="I65" s="25"/>
      <c r="J65" s="25"/>
      <c r="K65" s="25"/>
      <c r="N65" s="1"/>
      <c r="O65" s="9"/>
      <c r="P65" s="9"/>
      <c r="Q65" s="9"/>
      <c r="R65" s="9"/>
      <c r="S65" s="9"/>
      <c r="T65" s="9"/>
      <c r="U65" s="9"/>
      <c r="V65" s="32"/>
      <c r="W65" s="32"/>
      <c r="X65" s="32"/>
      <c r="Y65" s="32"/>
      <c r="Z65" s="32"/>
    </row>
    <row r="66" spans="1:26">
      <c r="A66" s="49"/>
      <c r="B66" s="5"/>
      <c r="D66" s="9"/>
      <c r="N66" s="1"/>
      <c r="O66" s="9"/>
      <c r="P66" s="9"/>
      <c r="Q66" s="9"/>
      <c r="R66" s="9"/>
      <c r="S66" s="9"/>
      <c r="T66" s="9"/>
      <c r="U66" s="9"/>
      <c r="V66"/>
      <c r="W66"/>
      <c r="X66"/>
      <c r="Y66"/>
    </row>
    <row r="67" spans="1:26">
      <c r="A67" s="30" t="s">
        <v>114</v>
      </c>
      <c r="B67" s="31" t="s">
        <v>115</v>
      </c>
      <c r="C67" s="31" t="s">
        <v>116</v>
      </c>
      <c r="D67" s="31" t="s">
        <v>117</v>
      </c>
      <c r="E67" s="31" t="s">
        <v>118</v>
      </c>
      <c r="F67" s="31" t="s">
        <v>119</v>
      </c>
      <c r="G67" s="31" t="s">
        <v>120</v>
      </c>
      <c r="H67" s="31" t="s">
        <v>121</v>
      </c>
      <c r="I67" s="31" t="s">
        <v>122</v>
      </c>
      <c r="J67" s="31" t="s">
        <v>123</v>
      </c>
      <c r="K67" s="31" t="s">
        <v>143</v>
      </c>
      <c r="L67" s="31" t="s">
        <v>125</v>
      </c>
      <c r="M67" s="31" t="s">
        <v>126</v>
      </c>
      <c r="N67" s="31" t="s">
        <v>116</v>
      </c>
      <c r="O67" s="31" t="s">
        <v>117</v>
      </c>
      <c r="P67" s="31" t="s">
        <v>118</v>
      </c>
      <c r="Q67" s="31" t="s">
        <v>119</v>
      </c>
      <c r="R67" s="31" t="s">
        <v>120</v>
      </c>
      <c r="S67" s="31" t="s">
        <v>121</v>
      </c>
      <c r="T67" s="31" t="s">
        <v>122</v>
      </c>
      <c r="U67" s="31" t="s">
        <v>127</v>
      </c>
      <c r="V67"/>
      <c r="W67"/>
      <c r="X67"/>
      <c r="Y67"/>
    </row>
    <row r="68" spans="1:26">
      <c r="A68" s="33" t="s">
        <v>33</v>
      </c>
      <c r="B68" s="34">
        <v>1</v>
      </c>
      <c r="C68" s="34">
        <v>8598</v>
      </c>
      <c r="D68" s="34">
        <v>8598</v>
      </c>
      <c r="E68" s="34">
        <v>8598</v>
      </c>
      <c r="F68" s="34">
        <v>8598</v>
      </c>
      <c r="G68" s="34">
        <v>8598</v>
      </c>
      <c r="H68" s="34">
        <v>8598</v>
      </c>
      <c r="I68" s="34">
        <v>8598</v>
      </c>
      <c r="J68" s="35">
        <v>0</v>
      </c>
      <c r="K68" s="36">
        <v>0.11631</v>
      </c>
      <c r="L68" s="37">
        <v>0.02</v>
      </c>
      <c r="M68" s="34">
        <v>0.05</v>
      </c>
      <c r="N68" s="50" t="str">
        <f>C68&amp;" ("&amp;TEXT(C68/1000,"0.000")&amp;" secs)"</f>
        <v>8598 (8.598 secs)</v>
      </c>
      <c r="O68" s="52" t="str">
        <f>D68&amp;" ("&amp;TEXT(D68/1000,"0.000")&amp;" secs)"</f>
        <v>8598 (8.598 secs)</v>
      </c>
      <c r="P68" s="52" t="str">
        <f t="shared" ref="P68:T72" si="9">E68&amp;" ("&amp;TEXT(E68/1000,"0.000")&amp;" secs)"</f>
        <v>8598 (8.598 secs)</v>
      </c>
      <c r="Q68" s="52" t="str">
        <f t="shared" si="9"/>
        <v>8598 (8.598 secs)</v>
      </c>
      <c r="R68" s="52" t="str">
        <f t="shared" si="9"/>
        <v>8598 (8.598 secs)</v>
      </c>
      <c r="S68" s="162" t="str">
        <f t="shared" si="9"/>
        <v>8598 (8.598 secs)</v>
      </c>
      <c r="T68" s="52" t="str">
        <f t="shared" si="9"/>
        <v>8598 (8.598 secs)</v>
      </c>
      <c r="U68" s="71" t="s">
        <v>145</v>
      </c>
      <c r="V68"/>
      <c r="W68"/>
      <c r="X68"/>
      <c r="Y68"/>
    </row>
    <row r="69" spans="1:26">
      <c r="A69" s="33" t="s">
        <v>38</v>
      </c>
      <c r="B69" s="34">
        <v>1</v>
      </c>
      <c r="C69" s="34">
        <v>181</v>
      </c>
      <c r="D69" s="34">
        <v>181</v>
      </c>
      <c r="E69" s="34">
        <v>181</v>
      </c>
      <c r="F69" s="34">
        <v>181</v>
      </c>
      <c r="G69" s="34">
        <v>181</v>
      </c>
      <c r="H69" s="34">
        <v>181</v>
      </c>
      <c r="I69" s="34">
        <v>181</v>
      </c>
      <c r="J69" s="35">
        <v>0</v>
      </c>
      <c r="K69" s="36">
        <v>5.5248600000000003</v>
      </c>
      <c r="L69" s="37">
        <v>11.4</v>
      </c>
      <c r="M69" s="34">
        <v>1.86</v>
      </c>
      <c r="N69" s="52" t="str">
        <f t="shared" ref="N69:O72" si="10">C69&amp;" ("&amp;TEXT(C69/1000,"0.000")&amp;" secs)"</f>
        <v>181 (0.181 secs)</v>
      </c>
      <c r="O69" s="52" t="str">
        <f t="shared" si="10"/>
        <v>181 (0.181 secs)</v>
      </c>
      <c r="P69" s="52" t="str">
        <f t="shared" si="9"/>
        <v>181 (0.181 secs)</v>
      </c>
      <c r="Q69" s="52" t="str">
        <f t="shared" si="9"/>
        <v>181 (0.181 secs)</v>
      </c>
      <c r="R69" s="52" t="str">
        <f t="shared" si="9"/>
        <v>181 (0.181 secs)</v>
      </c>
      <c r="S69" s="162" t="str">
        <f t="shared" si="9"/>
        <v>181 (0.181 secs)</v>
      </c>
      <c r="T69" s="52" t="str">
        <f t="shared" si="9"/>
        <v>181 (0.181 secs)</v>
      </c>
      <c r="U69" s="71"/>
      <c r="V69"/>
      <c r="W69"/>
      <c r="X69"/>
      <c r="Y69"/>
    </row>
    <row r="70" spans="1:26">
      <c r="A70" s="33" t="s">
        <v>39</v>
      </c>
      <c r="B70" s="34">
        <v>1</v>
      </c>
      <c r="C70" s="34">
        <v>169</v>
      </c>
      <c r="D70" s="34">
        <v>169</v>
      </c>
      <c r="E70" s="34">
        <v>169</v>
      </c>
      <c r="F70" s="34">
        <v>169</v>
      </c>
      <c r="G70" s="34">
        <v>169</v>
      </c>
      <c r="H70" s="34">
        <v>169</v>
      </c>
      <c r="I70" s="34">
        <v>169</v>
      </c>
      <c r="J70" s="35">
        <v>0</v>
      </c>
      <c r="K70" s="36">
        <v>5.91716</v>
      </c>
      <c r="L70" s="37">
        <v>1.66</v>
      </c>
      <c r="M70" s="34">
        <v>2.23</v>
      </c>
      <c r="N70" s="52" t="str">
        <f t="shared" si="10"/>
        <v>169 (0.169 secs)</v>
      </c>
      <c r="O70" s="52" t="str">
        <f t="shared" si="10"/>
        <v>169 (0.169 secs)</v>
      </c>
      <c r="P70" s="52" t="str">
        <f t="shared" si="9"/>
        <v>169 (0.169 secs)</v>
      </c>
      <c r="Q70" s="52" t="str">
        <f t="shared" si="9"/>
        <v>169 (0.169 secs)</v>
      </c>
      <c r="R70" s="52" t="str">
        <f t="shared" si="9"/>
        <v>169 (0.169 secs)</v>
      </c>
      <c r="S70" s="162" t="str">
        <f t="shared" si="9"/>
        <v>169 (0.169 secs)</v>
      </c>
      <c r="T70" s="52" t="str">
        <f t="shared" si="9"/>
        <v>169 (0.169 secs)</v>
      </c>
      <c r="U70" s="71"/>
      <c r="V70" s="32"/>
      <c r="W70" s="32"/>
      <c r="X70" s="32"/>
      <c r="Y70" s="32"/>
      <c r="Z70" s="32"/>
    </row>
    <row r="71" spans="1:26">
      <c r="A71" s="33" t="s">
        <v>40</v>
      </c>
      <c r="B71" s="34">
        <v>1</v>
      </c>
      <c r="C71" s="34">
        <v>154</v>
      </c>
      <c r="D71" s="34">
        <v>154</v>
      </c>
      <c r="E71" s="34">
        <v>154</v>
      </c>
      <c r="F71" s="34">
        <v>154</v>
      </c>
      <c r="G71" s="34">
        <v>154</v>
      </c>
      <c r="H71" s="34">
        <v>154</v>
      </c>
      <c r="I71" s="34">
        <v>154</v>
      </c>
      <c r="J71" s="35">
        <v>0</v>
      </c>
      <c r="K71" s="36">
        <v>6.4935099999999997</v>
      </c>
      <c r="L71" s="37">
        <v>1.85</v>
      </c>
      <c r="M71" s="34">
        <v>2.35</v>
      </c>
      <c r="N71" s="52" t="str">
        <f t="shared" si="10"/>
        <v>154 (0.154 secs)</v>
      </c>
      <c r="O71" s="52" t="str">
        <f t="shared" si="10"/>
        <v>154 (0.154 secs)</v>
      </c>
      <c r="P71" s="52" t="str">
        <f t="shared" si="9"/>
        <v>154 (0.154 secs)</v>
      </c>
      <c r="Q71" s="52" t="str">
        <f t="shared" si="9"/>
        <v>154 (0.154 secs)</v>
      </c>
      <c r="R71" s="52" t="str">
        <f t="shared" si="9"/>
        <v>154 (0.154 secs)</v>
      </c>
      <c r="S71" s="162" t="str">
        <f t="shared" si="9"/>
        <v>154 (0.154 secs)</v>
      </c>
      <c r="T71" s="52" t="str">
        <f t="shared" si="9"/>
        <v>154 (0.154 secs)</v>
      </c>
      <c r="U71" s="71"/>
      <c r="V71"/>
      <c r="W71"/>
      <c r="X71"/>
      <c r="Y71"/>
    </row>
    <row r="72" spans="1:26" ht="15" thickBot="1">
      <c r="A72" s="38" t="s">
        <v>128</v>
      </c>
      <c r="B72" s="39">
        <v>4</v>
      </c>
      <c r="C72" s="39">
        <v>2275</v>
      </c>
      <c r="D72" s="39">
        <v>169</v>
      </c>
      <c r="E72" s="39">
        <v>8598</v>
      </c>
      <c r="F72" s="39">
        <v>8598</v>
      </c>
      <c r="G72" s="39">
        <v>8598</v>
      </c>
      <c r="H72" s="39">
        <v>154</v>
      </c>
      <c r="I72" s="39">
        <v>8598</v>
      </c>
      <c r="J72" s="40">
        <v>0</v>
      </c>
      <c r="K72" s="41">
        <v>0.43802000000000002</v>
      </c>
      <c r="L72" s="42">
        <v>0.31</v>
      </c>
      <c r="M72" s="39">
        <v>0.17</v>
      </c>
      <c r="N72" s="53" t="str">
        <f t="shared" si="10"/>
        <v>2275 (2.275 secs)</v>
      </c>
      <c r="O72" s="53" t="str">
        <f t="shared" si="10"/>
        <v>169 (0.169 secs)</v>
      </c>
      <c r="P72" s="53" t="str">
        <f t="shared" si="9"/>
        <v>8598 (8.598 secs)</v>
      </c>
      <c r="Q72" s="53" t="str">
        <f t="shared" si="9"/>
        <v>8598 (8.598 secs)</v>
      </c>
      <c r="R72" s="53" t="str">
        <f t="shared" si="9"/>
        <v>8598 (8.598 secs)</v>
      </c>
      <c r="S72" s="163" t="str">
        <f t="shared" si="9"/>
        <v>154 (0.154 secs)</v>
      </c>
      <c r="T72" s="53" t="str">
        <f t="shared" si="9"/>
        <v>8598 (8.598 secs)</v>
      </c>
      <c r="U72" s="72"/>
      <c r="V72"/>
      <c r="W72"/>
      <c r="X72"/>
      <c r="Y72"/>
    </row>
    <row r="73" spans="1:26">
      <c r="V73"/>
      <c r="W73"/>
      <c r="X73"/>
      <c r="Y73"/>
    </row>
    <row r="74" spans="1:26">
      <c r="A74" s="21" t="s">
        <v>52</v>
      </c>
      <c r="B74" s="22" t="s">
        <v>53</v>
      </c>
      <c r="C74" s="25"/>
      <c r="D74" s="24"/>
      <c r="E74" s="25"/>
      <c r="F74" s="25"/>
      <c r="G74" s="25"/>
      <c r="H74" s="25"/>
      <c r="I74" s="25"/>
      <c r="J74" s="25"/>
      <c r="K74" s="25"/>
      <c r="N74" s="1"/>
      <c r="O74" s="9"/>
      <c r="P74" s="9"/>
      <c r="Q74" s="9"/>
      <c r="R74" s="9"/>
      <c r="S74" s="9"/>
      <c r="T74" s="9"/>
      <c r="U74" s="9"/>
      <c r="V74"/>
      <c r="W74"/>
      <c r="X74"/>
      <c r="Y74"/>
    </row>
    <row r="75" spans="1:26">
      <c r="A75" s="48" t="s">
        <v>13</v>
      </c>
      <c r="B75" s="27" t="s">
        <v>196</v>
      </c>
      <c r="C75" s="24"/>
      <c r="D75" s="24"/>
      <c r="E75" s="25"/>
      <c r="F75" s="25"/>
      <c r="G75" s="25"/>
      <c r="H75" s="25"/>
      <c r="I75" s="25"/>
      <c r="J75" s="25"/>
      <c r="K75" s="25"/>
      <c r="N75" s="1"/>
      <c r="O75" s="9"/>
      <c r="P75" s="9"/>
      <c r="Q75" s="9"/>
      <c r="R75" s="9"/>
      <c r="S75" s="9"/>
      <c r="T75" s="9"/>
      <c r="U75" s="9"/>
      <c r="V75" s="32"/>
      <c r="W75" s="32"/>
      <c r="X75" s="32"/>
      <c r="Y75" s="32"/>
      <c r="Z75" s="32"/>
    </row>
    <row r="76" spans="1:26">
      <c r="A76" s="49"/>
      <c r="B76" s="5"/>
      <c r="D76" s="9"/>
      <c r="N76" s="1"/>
      <c r="O76" s="9"/>
      <c r="P76" s="9"/>
      <c r="Q76" s="9"/>
      <c r="R76" s="9"/>
      <c r="S76" s="9"/>
      <c r="T76" s="9"/>
      <c r="U76" s="9"/>
      <c r="V76"/>
      <c r="W76"/>
      <c r="X76"/>
      <c r="Y76"/>
    </row>
    <row r="77" spans="1:26">
      <c r="A77" s="30" t="s">
        <v>114</v>
      </c>
      <c r="B77" s="31" t="s">
        <v>115</v>
      </c>
      <c r="C77" s="31" t="s">
        <v>116</v>
      </c>
      <c r="D77" s="31" t="s">
        <v>117</v>
      </c>
      <c r="E77" s="31" t="s">
        <v>118</v>
      </c>
      <c r="F77" s="31" t="s">
        <v>119</v>
      </c>
      <c r="G77" s="31" t="s">
        <v>120</v>
      </c>
      <c r="H77" s="31" t="s">
        <v>121</v>
      </c>
      <c r="I77" s="31" t="s">
        <v>122</v>
      </c>
      <c r="J77" s="31" t="s">
        <v>123</v>
      </c>
      <c r="K77" s="31" t="s">
        <v>143</v>
      </c>
      <c r="L77" s="31" t="s">
        <v>125</v>
      </c>
      <c r="M77" s="31" t="s">
        <v>126</v>
      </c>
      <c r="N77" s="31" t="s">
        <v>116</v>
      </c>
      <c r="O77" s="31" t="s">
        <v>117</v>
      </c>
      <c r="P77" s="31" t="s">
        <v>118</v>
      </c>
      <c r="Q77" s="31" t="s">
        <v>119</v>
      </c>
      <c r="R77" s="31" t="s">
        <v>120</v>
      </c>
      <c r="S77" s="161" t="s">
        <v>121</v>
      </c>
      <c r="T77" s="31" t="s">
        <v>122</v>
      </c>
      <c r="U77" s="31" t="s">
        <v>127</v>
      </c>
      <c r="V77"/>
      <c r="W77"/>
      <c r="X77"/>
      <c r="Y77"/>
    </row>
    <row r="78" spans="1:26">
      <c r="A78" s="33" t="s">
        <v>33</v>
      </c>
      <c r="B78" s="34">
        <v>1</v>
      </c>
      <c r="C78" s="34">
        <v>29429</v>
      </c>
      <c r="D78" s="34">
        <v>29429</v>
      </c>
      <c r="E78" s="34">
        <v>29429</v>
      </c>
      <c r="F78" s="34">
        <v>29429</v>
      </c>
      <c r="G78" s="34">
        <v>29429</v>
      </c>
      <c r="H78" s="34">
        <v>29429</v>
      </c>
      <c r="I78" s="34">
        <v>29429</v>
      </c>
      <c r="J78" s="35">
        <v>0</v>
      </c>
      <c r="K78" s="36">
        <v>3.3980000000000003E-2</v>
      </c>
      <c r="L78" s="37">
        <v>0.01</v>
      </c>
      <c r="M78" s="34">
        <v>0.02</v>
      </c>
      <c r="N78" s="50" t="str">
        <f>C78&amp;" ("&amp;TEXT(C78/1000,"0.000")&amp;" secs)"</f>
        <v>29429 (29.429 secs)</v>
      </c>
      <c r="O78" s="52" t="str">
        <f>D78&amp;" ("&amp;TEXT(D78/1000,"0.000")&amp;" secs)"</f>
        <v>29429 (29.429 secs)</v>
      </c>
      <c r="P78" s="52" t="str">
        <f t="shared" ref="P78:T82" si="11">E78&amp;" ("&amp;TEXT(E78/1000,"0.000")&amp;" secs)"</f>
        <v>29429 (29.429 secs)</v>
      </c>
      <c r="Q78" s="52" t="str">
        <f t="shared" si="11"/>
        <v>29429 (29.429 secs)</v>
      </c>
      <c r="R78" s="52" t="str">
        <f t="shared" si="11"/>
        <v>29429 (29.429 secs)</v>
      </c>
      <c r="S78" s="162" t="str">
        <f t="shared" si="11"/>
        <v>29429 (29.429 secs)</v>
      </c>
      <c r="T78" s="162" t="str">
        <f t="shared" si="11"/>
        <v>29429 (29.429 secs)</v>
      </c>
      <c r="U78" s="52" t="s">
        <v>146</v>
      </c>
      <c r="V78"/>
      <c r="W78"/>
      <c r="X78"/>
      <c r="Y78"/>
    </row>
    <row r="79" spans="1:26">
      <c r="A79" s="33" t="s">
        <v>38</v>
      </c>
      <c r="B79" s="34">
        <v>1</v>
      </c>
      <c r="C79" s="34">
        <v>164</v>
      </c>
      <c r="D79" s="34">
        <v>164</v>
      </c>
      <c r="E79" s="34">
        <v>164</v>
      </c>
      <c r="F79" s="34">
        <v>164</v>
      </c>
      <c r="G79" s="34">
        <v>164</v>
      </c>
      <c r="H79" s="34">
        <v>164</v>
      </c>
      <c r="I79" s="34">
        <v>164</v>
      </c>
      <c r="J79" s="35">
        <v>0</v>
      </c>
      <c r="K79" s="36">
        <v>6.0975599999999996</v>
      </c>
      <c r="L79" s="37">
        <v>14.87</v>
      </c>
      <c r="M79" s="34">
        <v>2.0499999999999998</v>
      </c>
      <c r="N79" s="52" t="str">
        <f t="shared" ref="N79:O82" si="12">C79&amp;" ("&amp;TEXT(C79/1000,"0.000")&amp;" secs)"</f>
        <v>164 (0.164 secs)</v>
      </c>
      <c r="O79" s="52" t="str">
        <f t="shared" si="12"/>
        <v>164 (0.164 secs)</v>
      </c>
      <c r="P79" s="52" t="str">
        <f t="shared" si="11"/>
        <v>164 (0.164 secs)</v>
      </c>
      <c r="Q79" s="52" t="str">
        <f t="shared" si="11"/>
        <v>164 (0.164 secs)</v>
      </c>
      <c r="R79" s="52" t="str">
        <f t="shared" si="11"/>
        <v>164 (0.164 secs)</v>
      </c>
      <c r="S79" s="162" t="str">
        <f t="shared" si="11"/>
        <v>164 (0.164 secs)</v>
      </c>
      <c r="T79" s="162" t="str">
        <f t="shared" si="11"/>
        <v>164 (0.164 secs)</v>
      </c>
      <c r="U79" s="52"/>
      <c r="V79"/>
      <c r="W79"/>
      <c r="X79"/>
      <c r="Y79"/>
    </row>
    <row r="80" spans="1:26">
      <c r="A80" s="33" t="s">
        <v>39</v>
      </c>
      <c r="B80" s="34">
        <v>1</v>
      </c>
      <c r="C80" s="34">
        <v>156</v>
      </c>
      <c r="D80" s="34">
        <v>156</v>
      </c>
      <c r="E80" s="34">
        <v>156</v>
      </c>
      <c r="F80" s="34">
        <v>156</v>
      </c>
      <c r="G80" s="34">
        <v>156</v>
      </c>
      <c r="H80" s="34">
        <v>156</v>
      </c>
      <c r="I80" s="34">
        <v>156</v>
      </c>
      <c r="J80" s="35">
        <v>0</v>
      </c>
      <c r="K80" s="36">
        <v>6.4102600000000001</v>
      </c>
      <c r="L80" s="37">
        <v>3.74</v>
      </c>
      <c r="M80" s="34">
        <v>2.42</v>
      </c>
      <c r="N80" s="52" t="str">
        <f t="shared" si="12"/>
        <v>156 (0.156 secs)</v>
      </c>
      <c r="O80" s="52" t="str">
        <f t="shared" si="12"/>
        <v>156 (0.156 secs)</v>
      </c>
      <c r="P80" s="52" t="str">
        <f t="shared" si="11"/>
        <v>156 (0.156 secs)</v>
      </c>
      <c r="Q80" s="52" t="str">
        <f t="shared" si="11"/>
        <v>156 (0.156 secs)</v>
      </c>
      <c r="R80" s="52" t="str">
        <f t="shared" si="11"/>
        <v>156 (0.156 secs)</v>
      </c>
      <c r="S80" s="162" t="str">
        <f t="shared" si="11"/>
        <v>156 (0.156 secs)</v>
      </c>
      <c r="T80" s="162" t="str">
        <f t="shared" si="11"/>
        <v>156 (0.156 secs)</v>
      </c>
      <c r="U80" s="52"/>
      <c r="V80" s="32"/>
      <c r="W80" s="32"/>
      <c r="X80" s="32"/>
      <c r="Y80" s="32"/>
      <c r="Z80" s="32"/>
    </row>
    <row r="81" spans="1:26">
      <c r="A81" s="33" t="s">
        <v>40</v>
      </c>
      <c r="B81" s="34">
        <v>1</v>
      </c>
      <c r="C81" s="34">
        <v>151</v>
      </c>
      <c r="D81" s="34">
        <v>151</v>
      </c>
      <c r="E81" s="34">
        <v>151</v>
      </c>
      <c r="F81" s="34">
        <v>151</v>
      </c>
      <c r="G81" s="34">
        <v>151</v>
      </c>
      <c r="H81" s="34">
        <v>151</v>
      </c>
      <c r="I81" s="34">
        <v>151</v>
      </c>
      <c r="J81" s="35">
        <v>0</v>
      </c>
      <c r="K81" s="36">
        <v>6.6225199999999997</v>
      </c>
      <c r="L81" s="37">
        <v>3.35</v>
      </c>
      <c r="M81" s="34">
        <v>2.39</v>
      </c>
      <c r="N81" s="52" t="str">
        <f t="shared" si="12"/>
        <v>151 (0.151 secs)</v>
      </c>
      <c r="O81" s="52" t="str">
        <f t="shared" si="12"/>
        <v>151 (0.151 secs)</v>
      </c>
      <c r="P81" s="52" t="str">
        <f t="shared" si="11"/>
        <v>151 (0.151 secs)</v>
      </c>
      <c r="Q81" s="52" t="str">
        <f t="shared" si="11"/>
        <v>151 (0.151 secs)</v>
      </c>
      <c r="R81" s="52" t="str">
        <f t="shared" si="11"/>
        <v>151 (0.151 secs)</v>
      </c>
      <c r="S81" s="162" t="str">
        <f t="shared" si="11"/>
        <v>151 (0.151 secs)</v>
      </c>
      <c r="T81" s="162" t="str">
        <f t="shared" si="11"/>
        <v>151 (0.151 secs)</v>
      </c>
      <c r="U81" s="52"/>
      <c r="V81"/>
      <c r="W81"/>
      <c r="X81"/>
      <c r="Y81"/>
    </row>
    <row r="82" spans="1:26" ht="15" thickBot="1">
      <c r="A82" s="38" t="s">
        <v>128</v>
      </c>
      <c r="B82" s="39">
        <v>4</v>
      </c>
      <c r="C82" s="39">
        <v>7475</v>
      </c>
      <c r="D82" s="39">
        <v>156</v>
      </c>
      <c r="E82" s="39">
        <v>29429</v>
      </c>
      <c r="F82" s="39">
        <v>29429</v>
      </c>
      <c r="G82" s="39">
        <v>29429</v>
      </c>
      <c r="H82" s="39">
        <v>151</v>
      </c>
      <c r="I82" s="39">
        <v>29429</v>
      </c>
      <c r="J82" s="40">
        <v>0</v>
      </c>
      <c r="K82" s="41">
        <v>0.13370000000000001</v>
      </c>
      <c r="L82" s="42">
        <v>0.12</v>
      </c>
      <c r="M82" s="39">
        <v>0.05</v>
      </c>
      <c r="N82" s="53" t="str">
        <f t="shared" si="12"/>
        <v>7475 (7.475 secs)</v>
      </c>
      <c r="O82" s="53" t="str">
        <f t="shared" si="12"/>
        <v>156 (0.156 secs)</v>
      </c>
      <c r="P82" s="53" t="str">
        <f t="shared" si="11"/>
        <v>29429 (29.429 secs)</v>
      </c>
      <c r="Q82" s="53" t="str">
        <f t="shared" si="11"/>
        <v>29429 (29.429 secs)</v>
      </c>
      <c r="R82" s="53" t="str">
        <f t="shared" si="11"/>
        <v>29429 (29.429 secs)</v>
      </c>
      <c r="S82" s="163" t="str">
        <f t="shared" si="11"/>
        <v>151 (0.151 secs)</v>
      </c>
      <c r="T82" s="163" t="str">
        <f t="shared" si="11"/>
        <v>29429 (29.429 secs)</v>
      </c>
      <c r="U82" s="53"/>
      <c r="V82"/>
      <c r="W82"/>
      <c r="X82"/>
      <c r="Y82"/>
    </row>
    <row r="83" spans="1:26">
      <c r="V83"/>
      <c r="W83"/>
      <c r="X83"/>
      <c r="Y83"/>
    </row>
    <row r="84" spans="1:26">
      <c r="A84" s="21" t="s">
        <v>55</v>
      </c>
      <c r="B84" s="22" t="s">
        <v>147</v>
      </c>
      <c r="C84" s="25"/>
      <c r="D84" s="24"/>
      <c r="E84" s="25"/>
      <c r="F84" s="25"/>
      <c r="G84" s="25"/>
      <c r="H84" s="25"/>
      <c r="I84" s="25"/>
      <c r="J84" s="25"/>
      <c r="K84" s="25"/>
      <c r="N84" s="1"/>
      <c r="O84" s="9"/>
      <c r="P84" s="9"/>
      <c r="Q84" s="9"/>
      <c r="R84" s="9"/>
      <c r="S84" s="9"/>
      <c r="T84" s="9"/>
      <c r="U84" s="9"/>
      <c r="V84"/>
      <c r="W84"/>
      <c r="X84"/>
      <c r="Y84"/>
    </row>
    <row r="85" spans="1:26">
      <c r="A85" s="48" t="s">
        <v>13</v>
      </c>
      <c r="B85" s="58" t="s">
        <v>197</v>
      </c>
      <c r="C85" s="24"/>
      <c r="D85" s="24"/>
      <c r="E85" s="25"/>
      <c r="F85" s="25"/>
      <c r="G85" s="25"/>
      <c r="H85" s="25"/>
      <c r="I85" s="25"/>
      <c r="J85" s="25"/>
      <c r="K85" s="25"/>
      <c r="N85" s="1"/>
      <c r="O85" s="9"/>
      <c r="P85" s="9"/>
      <c r="Q85" s="9"/>
      <c r="R85" s="9"/>
      <c r="S85" s="9"/>
      <c r="T85" s="9"/>
      <c r="U85" s="9"/>
      <c r="V85" s="32"/>
      <c r="W85" s="32"/>
      <c r="X85" s="32"/>
      <c r="Y85" s="32"/>
      <c r="Z85" s="32"/>
    </row>
    <row r="86" spans="1:26">
      <c r="A86" s="49"/>
      <c r="B86" s="5"/>
      <c r="D86" s="9"/>
      <c r="N86" s="1"/>
      <c r="O86" s="9"/>
      <c r="P86" s="9"/>
      <c r="Q86" s="9"/>
      <c r="R86" s="9"/>
      <c r="S86" s="9"/>
      <c r="T86" s="9"/>
      <c r="U86" s="9"/>
      <c r="V86"/>
      <c r="W86"/>
      <c r="X86"/>
      <c r="Y86"/>
    </row>
    <row r="87" spans="1:26">
      <c r="A87" s="30" t="s">
        <v>114</v>
      </c>
      <c r="B87" s="31" t="s">
        <v>115</v>
      </c>
      <c r="C87" s="31" t="s">
        <v>116</v>
      </c>
      <c r="D87" s="31" t="s">
        <v>117</v>
      </c>
      <c r="E87" s="31" t="s">
        <v>118</v>
      </c>
      <c r="F87" s="31" t="s">
        <v>119</v>
      </c>
      <c r="G87" s="31" t="s">
        <v>120</v>
      </c>
      <c r="H87" s="31" t="s">
        <v>121</v>
      </c>
      <c r="I87" s="31" t="s">
        <v>122</v>
      </c>
      <c r="J87" s="31" t="s">
        <v>123</v>
      </c>
      <c r="K87" s="31" t="s">
        <v>143</v>
      </c>
      <c r="L87" s="31" t="s">
        <v>125</v>
      </c>
      <c r="M87" s="31" t="s">
        <v>126</v>
      </c>
      <c r="N87" s="31" t="s">
        <v>116</v>
      </c>
      <c r="O87" s="31" t="s">
        <v>117</v>
      </c>
      <c r="P87" s="31" t="s">
        <v>118</v>
      </c>
      <c r="Q87" s="31" t="s">
        <v>119</v>
      </c>
      <c r="R87" s="31" t="s">
        <v>120</v>
      </c>
      <c r="S87" s="161" t="s">
        <v>121</v>
      </c>
      <c r="T87" s="31" t="s">
        <v>122</v>
      </c>
      <c r="U87" s="31" t="s">
        <v>127</v>
      </c>
      <c r="V87"/>
      <c r="W87"/>
      <c r="X87"/>
      <c r="Y87"/>
    </row>
    <row r="88" spans="1:26">
      <c r="A88" s="33" t="s">
        <v>33</v>
      </c>
      <c r="B88" s="34">
        <v>1</v>
      </c>
      <c r="C88" s="34">
        <v>872895</v>
      </c>
      <c r="D88" s="34">
        <v>872895</v>
      </c>
      <c r="E88" s="34">
        <v>872895</v>
      </c>
      <c r="F88" s="34">
        <v>872895</v>
      </c>
      <c r="G88" s="34">
        <v>872895</v>
      </c>
      <c r="H88" s="34">
        <v>872895</v>
      </c>
      <c r="I88" s="34">
        <v>872895</v>
      </c>
      <c r="J88" s="35">
        <v>0</v>
      </c>
      <c r="K88" s="36">
        <v>1.15E-3</v>
      </c>
      <c r="L88" s="37">
        <v>0</v>
      </c>
      <c r="M88" s="34">
        <v>0</v>
      </c>
      <c r="N88" s="50" t="str">
        <f>C88&amp;" ("&amp;TEXT(C88/60000,"0.000")&amp;" mins)"</f>
        <v>872895 (14.548 mins)</v>
      </c>
      <c r="O88" s="52" t="str">
        <f t="shared" ref="O88:T88" si="13">D88&amp;" ("&amp;TEXT(D88/60000,"0.000")&amp;" mins)"</f>
        <v>872895 (14.548 mins)</v>
      </c>
      <c r="P88" s="52" t="str">
        <f t="shared" si="13"/>
        <v>872895 (14.548 mins)</v>
      </c>
      <c r="Q88" s="52" t="str">
        <f t="shared" si="13"/>
        <v>872895 (14.548 mins)</v>
      </c>
      <c r="R88" s="52" t="str">
        <f t="shared" si="13"/>
        <v>872895 (14.548 mins)</v>
      </c>
      <c r="S88" s="162" t="str">
        <f t="shared" si="13"/>
        <v>872895 (14.548 mins)</v>
      </c>
      <c r="T88" s="162" t="str">
        <f t="shared" si="13"/>
        <v>872895 (14.548 mins)</v>
      </c>
      <c r="U88" s="52" t="s">
        <v>146</v>
      </c>
      <c r="V88"/>
      <c r="W88"/>
      <c r="X88"/>
      <c r="Y88"/>
    </row>
    <row r="89" spans="1:26">
      <c r="A89" s="33" t="s">
        <v>38</v>
      </c>
      <c r="B89" s="34">
        <v>1</v>
      </c>
      <c r="C89" s="34">
        <v>126</v>
      </c>
      <c r="D89" s="34">
        <v>126</v>
      </c>
      <c r="E89" s="34">
        <v>126</v>
      </c>
      <c r="F89" s="34">
        <v>126</v>
      </c>
      <c r="G89" s="34">
        <v>126</v>
      </c>
      <c r="H89" s="34">
        <v>126</v>
      </c>
      <c r="I89" s="34">
        <v>126</v>
      </c>
      <c r="J89" s="35">
        <v>0</v>
      </c>
      <c r="K89" s="36">
        <v>7.9365100000000002</v>
      </c>
      <c r="L89" s="37">
        <v>22.38</v>
      </c>
      <c r="M89" s="34">
        <v>2.67</v>
      </c>
      <c r="N89" s="52" t="str">
        <f t="shared" ref="N89:T92" si="14">C89&amp;" ("&amp;TEXT(C89/1000,"0.000")&amp;" secs)"</f>
        <v>126 (0.126 secs)</v>
      </c>
      <c r="O89" s="52" t="str">
        <f t="shared" si="14"/>
        <v>126 (0.126 secs)</v>
      </c>
      <c r="P89" s="52" t="str">
        <f t="shared" si="14"/>
        <v>126 (0.126 secs)</v>
      </c>
      <c r="Q89" s="52" t="str">
        <f t="shared" si="14"/>
        <v>126 (0.126 secs)</v>
      </c>
      <c r="R89" s="52" t="str">
        <f t="shared" si="14"/>
        <v>126 (0.126 secs)</v>
      </c>
      <c r="S89" s="162" t="str">
        <f t="shared" si="14"/>
        <v>126 (0.126 secs)</v>
      </c>
      <c r="T89" s="162" t="str">
        <f t="shared" si="14"/>
        <v>126 (0.126 secs)</v>
      </c>
      <c r="U89" s="52"/>
      <c r="V89"/>
      <c r="W89"/>
      <c r="X89"/>
      <c r="Y89"/>
    </row>
    <row r="90" spans="1:26">
      <c r="A90" s="33" t="s">
        <v>39</v>
      </c>
      <c r="B90" s="34">
        <v>1</v>
      </c>
      <c r="C90" s="34">
        <v>104</v>
      </c>
      <c r="D90" s="34">
        <v>104</v>
      </c>
      <c r="E90" s="34">
        <v>104</v>
      </c>
      <c r="F90" s="34">
        <v>104</v>
      </c>
      <c r="G90" s="34">
        <v>104</v>
      </c>
      <c r="H90" s="34">
        <v>104</v>
      </c>
      <c r="I90" s="34">
        <v>104</v>
      </c>
      <c r="J90" s="35">
        <v>0</v>
      </c>
      <c r="K90" s="36">
        <v>9.61538</v>
      </c>
      <c r="L90" s="37">
        <v>2.14</v>
      </c>
      <c r="M90" s="34">
        <v>3.62</v>
      </c>
      <c r="N90" s="52" t="str">
        <f t="shared" si="14"/>
        <v>104 (0.104 secs)</v>
      </c>
      <c r="O90" s="52" t="str">
        <f t="shared" si="14"/>
        <v>104 (0.104 secs)</v>
      </c>
      <c r="P90" s="52" t="str">
        <f t="shared" si="14"/>
        <v>104 (0.104 secs)</v>
      </c>
      <c r="Q90" s="52" t="str">
        <f t="shared" si="14"/>
        <v>104 (0.104 secs)</v>
      </c>
      <c r="R90" s="52" t="str">
        <f t="shared" si="14"/>
        <v>104 (0.104 secs)</v>
      </c>
      <c r="S90" s="162" t="str">
        <f t="shared" si="14"/>
        <v>104 (0.104 secs)</v>
      </c>
      <c r="T90" s="162" t="str">
        <f t="shared" si="14"/>
        <v>104 (0.104 secs)</v>
      </c>
      <c r="U90" s="52"/>
      <c r="V90" s="32"/>
      <c r="W90" s="32"/>
      <c r="X90" s="32"/>
      <c r="Y90" s="32"/>
      <c r="Z90" s="32"/>
    </row>
    <row r="91" spans="1:26">
      <c r="A91" s="33" t="s">
        <v>40</v>
      </c>
      <c r="B91" s="34">
        <v>1</v>
      </c>
      <c r="C91" s="34">
        <v>107</v>
      </c>
      <c r="D91" s="34">
        <v>107</v>
      </c>
      <c r="E91" s="34">
        <v>107</v>
      </c>
      <c r="F91" s="34">
        <v>107</v>
      </c>
      <c r="G91" s="34">
        <v>107</v>
      </c>
      <c r="H91" s="34">
        <v>107</v>
      </c>
      <c r="I91" s="34">
        <v>107</v>
      </c>
      <c r="J91" s="35">
        <v>0</v>
      </c>
      <c r="K91" s="36">
        <v>9.3457899999999992</v>
      </c>
      <c r="L91" s="37">
        <v>2.46</v>
      </c>
      <c r="M91" s="34">
        <v>3.37</v>
      </c>
      <c r="N91" s="52" t="str">
        <f t="shared" si="14"/>
        <v>107 (0.107 secs)</v>
      </c>
      <c r="O91" s="52" t="str">
        <f t="shared" si="14"/>
        <v>107 (0.107 secs)</v>
      </c>
      <c r="P91" s="52" t="str">
        <f t="shared" si="14"/>
        <v>107 (0.107 secs)</v>
      </c>
      <c r="Q91" s="52" t="str">
        <f t="shared" si="14"/>
        <v>107 (0.107 secs)</v>
      </c>
      <c r="R91" s="52" t="str">
        <f t="shared" si="14"/>
        <v>107 (0.107 secs)</v>
      </c>
      <c r="S91" s="162" t="str">
        <f t="shared" si="14"/>
        <v>107 (0.107 secs)</v>
      </c>
      <c r="T91" s="162" t="str">
        <f t="shared" si="14"/>
        <v>107 (0.107 secs)</v>
      </c>
      <c r="U91" s="52"/>
      <c r="V91"/>
      <c r="W91"/>
      <c r="X91"/>
      <c r="Y91"/>
    </row>
    <row r="92" spans="1:26" ht="15" thickBot="1">
      <c r="A92" s="38" t="s">
        <v>128</v>
      </c>
      <c r="B92" s="39">
        <v>4</v>
      </c>
      <c r="C92" s="39">
        <v>218308</v>
      </c>
      <c r="D92" s="39">
        <v>107</v>
      </c>
      <c r="E92" s="39">
        <v>872895</v>
      </c>
      <c r="F92" s="39">
        <v>872895</v>
      </c>
      <c r="G92" s="39">
        <v>872895</v>
      </c>
      <c r="H92" s="39">
        <v>104</v>
      </c>
      <c r="I92" s="39">
        <v>872895</v>
      </c>
      <c r="J92" s="40">
        <v>0</v>
      </c>
      <c r="K92" s="41">
        <v>4.5799999999999999E-3</v>
      </c>
      <c r="L92" s="42">
        <v>0</v>
      </c>
      <c r="M92" s="39">
        <v>0</v>
      </c>
      <c r="N92" s="57" t="str">
        <f>C92&amp;" ("&amp;TEXT(C92/60000,"0.000")&amp;" mins)"</f>
        <v>218308 (3.638 mins)</v>
      </c>
      <c r="O92" s="53" t="str">
        <f t="shared" si="14"/>
        <v>107 (0.107 secs)</v>
      </c>
      <c r="P92" s="53" t="str">
        <f>E92&amp;" ("&amp;TEXT(E92/60000,"0.000")&amp;" mins)"</f>
        <v>872895 (14.548 mins)</v>
      </c>
      <c r="Q92" s="53" t="str">
        <f t="shared" ref="Q92:T92" si="15">F92&amp;" ("&amp;TEXT(F92/60000,"0.000")&amp;" mins)"</f>
        <v>872895 (14.548 mins)</v>
      </c>
      <c r="R92" s="53" t="str">
        <f t="shared" si="15"/>
        <v>872895 (14.548 mins)</v>
      </c>
      <c r="S92" s="163" t="str">
        <f t="shared" si="15"/>
        <v>104 (0.002 mins)</v>
      </c>
      <c r="T92" s="163" t="str">
        <f t="shared" si="15"/>
        <v>872895 (14.548 mins)</v>
      </c>
      <c r="U92" s="53"/>
      <c r="V92"/>
      <c r="W92"/>
      <c r="X92"/>
      <c r="Y92"/>
    </row>
    <row r="94" spans="1:26">
      <c r="A94" s="21" t="s">
        <v>58</v>
      </c>
      <c r="B94" s="22" t="s">
        <v>59</v>
      </c>
      <c r="C94" s="25"/>
      <c r="D94" s="24"/>
      <c r="E94" s="25"/>
      <c r="F94" s="25"/>
      <c r="G94" s="25"/>
      <c r="H94" s="25"/>
      <c r="I94" s="25"/>
      <c r="J94" s="25"/>
      <c r="K94" s="25"/>
      <c r="N94" s="1"/>
      <c r="O94" s="9"/>
      <c r="P94" s="9"/>
      <c r="Q94" s="9"/>
      <c r="R94" s="9"/>
      <c r="S94" s="9"/>
      <c r="T94" s="9"/>
      <c r="U94" s="9"/>
    </row>
    <row r="95" spans="1:26">
      <c r="A95" s="48" t="s">
        <v>13</v>
      </c>
      <c r="B95" s="27" t="s">
        <v>198</v>
      </c>
      <c r="C95" s="24"/>
      <c r="D95" s="24"/>
      <c r="E95" s="25"/>
      <c r="F95" s="25"/>
      <c r="G95" s="25"/>
      <c r="H95" s="25"/>
      <c r="I95" s="25"/>
      <c r="J95" s="25"/>
      <c r="K95" s="25"/>
      <c r="N95" s="1"/>
      <c r="O95" s="9"/>
      <c r="P95" s="9"/>
      <c r="Q95" s="9"/>
      <c r="R95" s="9"/>
      <c r="S95" s="9"/>
      <c r="T95" s="9"/>
      <c r="U95" s="9"/>
    </row>
    <row r="96" spans="1:26">
      <c r="A96" s="49"/>
      <c r="B96" s="5"/>
      <c r="D96" s="9"/>
      <c r="N96" s="1"/>
      <c r="O96" s="9"/>
      <c r="P96" s="9"/>
      <c r="Q96" s="9"/>
      <c r="R96" s="9"/>
      <c r="S96" s="9"/>
      <c r="T96" s="9"/>
      <c r="U96" s="9"/>
    </row>
    <row r="97" spans="1:26" s="5" customFormat="1">
      <c r="A97" s="31" t="s">
        <v>114</v>
      </c>
      <c r="B97" s="31" t="s">
        <v>115</v>
      </c>
      <c r="C97" s="31" t="s">
        <v>116</v>
      </c>
      <c r="D97" s="31" t="s">
        <v>117</v>
      </c>
      <c r="E97" s="31" t="s">
        <v>118</v>
      </c>
      <c r="F97" s="31" t="s">
        <v>119</v>
      </c>
      <c r="G97" s="31" t="s">
        <v>120</v>
      </c>
      <c r="H97" s="31" t="s">
        <v>121</v>
      </c>
      <c r="I97" s="31" t="s">
        <v>122</v>
      </c>
      <c r="J97" s="31" t="s">
        <v>123</v>
      </c>
      <c r="K97" s="31" t="s">
        <v>143</v>
      </c>
      <c r="L97" s="31" t="s">
        <v>125</v>
      </c>
      <c r="M97" s="31" t="s">
        <v>126</v>
      </c>
      <c r="N97" s="31" t="s">
        <v>116</v>
      </c>
      <c r="O97" s="31" t="s">
        <v>117</v>
      </c>
      <c r="P97" s="31" t="s">
        <v>118</v>
      </c>
      <c r="Q97" s="31" t="s">
        <v>119</v>
      </c>
      <c r="R97" s="31" t="s">
        <v>120</v>
      </c>
      <c r="S97" s="161" t="s">
        <v>121</v>
      </c>
      <c r="T97" s="31" t="s">
        <v>122</v>
      </c>
      <c r="U97" s="31" t="s">
        <v>199</v>
      </c>
      <c r="V97" s="144" t="s">
        <v>200</v>
      </c>
      <c r="W97" s="144" t="s">
        <v>201</v>
      </c>
      <c r="X97" s="144" t="s">
        <v>202</v>
      </c>
      <c r="Y97" s="144" t="s">
        <v>203</v>
      </c>
      <c r="Z97" s="154" t="s">
        <v>127</v>
      </c>
    </row>
    <row r="98" spans="1:26">
      <c r="A98" s="33" t="s">
        <v>33</v>
      </c>
      <c r="B98" s="34">
        <v>1</v>
      </c>
      <c r="C98" s="34">
        <v>15497</v>
      </c>
      <c r="D98" s="34">
        <v>15497</v>
      </c>
      <c r="E98" s="34">
        <v>15497</v>
      </c>
      <c r="F98" s="34">
        <v>15497</v>
      </c>
      <c r="G98" s="34">
        <v>15497</v>
      </c>
      <c r="H98" s="34">
        <v>15497</v>
      </c>
      <c r="I98" s="34">
        <v>15497</v>
      </c>
      <c r="J98" s="35">
        <v>0</v>
      </c>
      <c r="K98" s="36">
        <v>6.4530000000000004E-2</v>
      </c>
      <c r="L98" s="37">
        <v>0.01</v>
      </c>
      <c r="M98" s="34">
        <v>0.03</v>
      </c>
      <c r="N98" s="50" t="str">
        <f>C98&amp;" ("&amp;TEXT(C98/1000,"0.000")&amp;" secs)"</f>
        <v>15497 (15.497 secs)</v>
      </c>
      <c r="O98" s="52" t="str">
        <f>D98&amp;" ("&amp;TEXT(D98/1000,"0.000")&amp;" secs)"</f>
        <v>15497 (15.497 secs)</v>
      </c>
      <c r="P98" s="52" t="str">
        <f t="shared" ref="P98:T102" si="16">E98&amp;" ("&amp;TEXT(E98/1000,"0.000")&amp;" secs)"</f>
        <v>15497 (15.497 secs)</v>
      </c>
      <c r="Q98" s="52" t="str">
        <f t="shared" si="16"/>
        <v>15497 (15.497 secs)</v>
      </c>
      <c r="R98" s="52" t="str">
        <f t="shared" si="16"/>
        <v>15497 (15.497 secs)</v>
      </c>
      <c r="S98" s="162" t="str">
        <f t="shared" si="16"/>
        <v>15497 (15.497 secs)</v>
      </c>
      <c r="T98" s="162" t="str">
        <f t="shared" si="16"/>
        <v>15497 (15.497 secs)</v>
      </c>
      <c r="U98" s="52">
        <v>0.87090000000000001</v>
      </c>
      <c r="V98" s="155">
        <v>0.42</v>
      </c>
      <c r="W98" s="155" t="s">
        <v>204</v>
      </c>
      <c r="X98" s="155" t="s">
        <v>205</v>
      </c>
      <c r="Y98" s="155">
        <v>0</v>
      </c>
      <c r="Z98" s="71" t="s">
        <v>148</v>
      </c>
    </row>
    <row r="99" spans="1:26">
      <c r="A99" s="33" t="s">
        <v>38</v>
      </c>
      <c r="B99" s="34">
        <v>1</v>
      </c>
      <c r="C99" s="34">
        <v>163</v>
      </c>
      <c r="D99" s="34">
        <v>163</v>
      </c>
      <c r="E99" s="34">
        <v>163</v>
      </c>
      <c r="F99" s="34">
        <v>163</v>
      </c>
      <c r="G99" s="34">
        <v>163</v>
      </c>
      <c r="H99" s="34">
        <v>163</v>
      </c>
      <c r="I99" s="34">
        <v>163</v>
      </c>
      <c r="J99" s="35">
        <v>0</v>
      </c>
      <c r="K99" s="36">
        <v>6.13497</v>
      </c>
      <c r="L99" s="37">
        <v>51.93</v>
      </c>
      <c r="M99" s="34">
        <v>2.0699999999999998</v>
      </c>
      <c r="N99" s="52" t="str">
        <f t="shared" ref="N99:O102" si="17">C99&amp;" ("&amp;TEXT(C99/1000,"0.000")&amp;" secs)"</f>
        <v>163 (0.163 secs)</v>
      </c>
      <c r="O99" s="52" t="str">
        <f t="shared" si="17"/>
        <v>163 (0.163 secs)</v>
      </c>
      <c r="P99" s="52" t="str">
        <f t="shared" si="16"/>
        <v>163 (0.163 secs)</v>
      </c>
      <c r="Q99" s="52" t="str">
        <f t="shared" si="16"/>
        <v>163 (0.163 secs)</v>
      </c>
      <c r="R99" s="52" t="str">
        <f t="shared" si="16"/>
        <v>163 (0.163 secs)</v>
      </c>
      <c r="S99" s="162" t="str">
        <f t="shared" si="16"/>
        <v>163 (0.163 secs)</v>
      </c>
      <c r="T99" s="162" t="str">
        <f t="shared" si="16"/>
        <v>163 (0.163 secs)</v>
      </c>
      <c r="U99" s="52"/>
      <c r="V99" s="156"/>
      <c r="W99" s="156"/>
      <c r="X99" s="156"/>
      <c r="Y99" s="156"/>
      <c r="Z99" s="71"/>
    </row>
    <row r="100" spans="1:26">
      <c r="A100" s="33" t="s">
        <v>39</v>
      </c>
      <c r="B100" s="34">
        <v>1</v>
      </c>
      <c r="C100" s="34">
        <v>125</v>
      </c>
      <c r="D100" s="34">
        <v>125</v>
      </c>
      <c r="E100" s="34">
        <v>125</v>
      </c>
      <c r="F100" s="34">
        <v>125</v>
      </c>
      <c r="G100" s="34">
        <v>125</v>
      </c>
      <c r="H100" s="34">
        <v>125</v>
      </c>
      <c r="I100" s="34">
        <v>125</v>
      </c>
      <c r="J100" s="35">
        <v>0</v>
      </c>
      <c r="K100" s="36">
        <v>8</v>
      </c>
      <c r="L100" s="37">
        <v>15.8</v>
      </c>
      <c r="M100" s="34">
        <v>3.04</v>
      </c>
      <c r="N100" s="52" t="str">
        <f t="shared" si="17"/>
        <v>125 (0.125 secs)</v>
      </c>
      <c r="O100" s="52" t="str">
        <f t="shared" si="17"/>
        <v>125 (0.125 secs)</v>
      </c>
      <c r="P100" s="52" t="str">
        <f t="shared" si="16"/>
        <v>125 (0.125 secs)</v>
      </c>
      <c r="Q100" s="52" t="str">
        <f t="shared" si="16"/>
        <v>125 (0.125 secs)</v>
      </c>
      <c r="R100" s="52" t="str">
        <f t="shared" si="16"/>
        <v>125 (0.125 secs)</v>
      </c>
      <c r="S100" s="162" t="str">
        <f t="shared" si="16"/>
        <v>125 (0.125 secs)</v>
      </c>
      <c r="T100" s="162" t="str">
        <f t="shared" si="16"/>
        <v>125 (0.125 secs)</v>
      </c>
      <c r="U100" s="52"/>
      <c r="V100" s="156"/>
      <c r="W100" s="156"/>
      <c r="X100" s="156"/>
      <c r="Y100" s="156"/>
      <c r="Z100" s="71"/>
    </row>
    <row r="101" spans="1:26">
      <c r="A101" s="33" t="s">
        <v>40</v>
      </c>
      <c r="B101" s="34">
        <v>1</v>
      </c>
      <c r="C101" s="34">
        <v>104</v>
      </c>
      <c r="D101" s="34">
        <v>104</v>
      </c>
      <c r="E101" s="34">
        <v>104</v>
      </c>
      <c r="F101" s="34">
        <v>104</v>
      </c>
      <c r="G101" s="34">
        <v>104</v>
      </c>
      <c r="H101" s="34">
        <v>104</v>
      </c>
      <c r="I101" s="34">
        <v>104</v>
      </c>
      <c r="J101" s="35">
        <v>0</v>
      </c>
      <c r="K101" s="36">
        <v>9.61538</v>
      </c>
      <c r="L101" s="37">
        <v>3.89</v>
      </c>
      <c r="M101" s="34">
        <v>3.5</v>
      </c>
      <c r="N101" s="52" t="str">
        <f t="shared" si="17"/>
        <v>104 (0.104 secs)</v>
      </c>
      <c r="O101" s="52" t="str">
        <f t="shared" si="17"/>
        <v>104 (0.104 secs)</v>
      </c>
      <c r="P101" s="52" t="str">
        <f t="shared" si="16"/>
        <v>104 (0.104 secs)</v>
      </c>
      <c r="Q101" s="52" t="str">
        <f t="shared" si="16"/>
        <v>104 (0.104 secs)</v>
      </c>
      <c r="R101" s="52" t="str">
        <f t="shared" si="16"/>
        <v>104 (0.104 secs)</v>
      </c>
      <c r="S101" s="162" t="str">
        <f t="shared" si="16"/>
        <v>104 (0.104 secs)</v>
      </c>
      <c r="T101" s="162" t="str">
        <f t="shared" si="16"/>
        <v>104 (0.104 secs)</v>
      </c>
      <c r="U101" s="52"/>
      <c r="V101" s="156"/>
      <c r="W101" s="156"/>
      <c r="X101" s="156"/>
      <c r="Y101" s="156"/>
      <c r="Z101" s="71"/>
    </row>
    <row r="102" spans="1:26" ht="15" thickBot="1">
      <c r="A102" s="38" t="s">
        <v>128</v>
      </c>
      <c r="B102" s="39">
        <v>4</v>
      </c>
      <c r="C102" s="39">
        <v>3972</v>
      </c>
      <c r="D102" s="39">
        <v>125</v>
      </c>
      <c r="E102" s="39">
        <v>15497</v>
      </c>
      <c r="F102" s="39">
        <v>15497</v>
      </c>
      <c r="G102" s="39">
        <v>15497</v>
      </c>
      <c r="H102" s="39">
        <v>104</v>
      </c>
      <c r="I102" s="39">
        <v>15497</v>
      </c>
      <c r="J102" s="40">
        <v>0</v>
      </c>
      <c r="K102" s="41">
        <v>0.24082000000000001</v>
      </c>
      <c r="L102" s="42">
        <v>0.67</v>
      </c>
      <c r="M102" s="39">
        <v>0.09</v>
      </c>
      <c r="N102" s="53" t="str">
        <f t="shared" si="17"/>
        <v>3972 (3.972 secs)</v>
      </c>
      <c r="O102" s="53" t="str">
        <f t="shared" si="17"/>
        <v>125 (0.125 secs)</v>
      </c>
      <c r="P102" s="53" t="str">
        <f t="shared" si="16"/>
        <v>15497 (15.497 secs)</v>
      </c>
      <c r="Q102" s="53" t="str">
        <f t="shared" si="16"/>
        <v>15497 (15.497 secs)</v>
      </c>
      <c r="R102" s="53" t="str">
        <f t="shared" si="16"/>
        <v>15497 (15.497 secs)</v>
      </c>
      <c r="S102" s="163" t="str">
        <f t="shared" si="16"/>
        <v>104 (0.104 secs)</v>
      </c>
      <c r="T102" s="163" t="str">
        <f t="shared" si="16"/>
        <v>15497 (15.497 secs)</v>
      </c>
      <c r="U102" s="53"/>
      <c r="V102" s="157"/>
      <c r="W102" s="157"/>
      <c r="X102" s="157"/>
      <c r="Y102" s="157"/>
      <c r="Z102" s="72"/>
    </row>
    <row r="104" spans="1:26">
      <c r="A104" s="21" t="s">
        <v>61</v>
      </c>
      <c r="B104" s="22" t="s">
        <v>62</v>
      </c>
      <c r="C104" s="25"/>
      <c r="D104" s="24"/>
      <c r="E104" s="25"/>
      <c r="F104" s="25"/>
      <c r="G104" s="25"/>
      <c r="H104" s="25"/>
      <c r="I104" s="25"/>
      <c r="J104" s="25"/>
      <c r="K104" s="25"/>
      <c r="N104" s="1"/>
      <c r="O104" s="9"/>
      <c r="P104" s="9"/>
      <c r="Q104" s="9"/>
      <c r="R104" s="9"/>
      <c r="S104" s="9"/>
      <c r="T104" s="9"/>
      <c r="U104" s="9"/>
    </row>
    <row r="105" spans="1:26">
      <c r="A105" s="48" t="s">
        <v>13</v>
      </c>
      <c r="B105" s="27" t="s">
        <v>206</v>
      </c>
      <c r="C105" s="24"/>
      <c r="D105" s="24"/>
      <c r="E105" s="25"/>
      <c r="F105" s="25"/>
      <c r="G105" s="25"/>
      <c r="H105" s="25"/>
      <c r="I105" s="25"/>
      <c r="J105" s="25"/>
      <c r="K105" s="25"/>
      <c r="N105" s="1"/>
      <c r="O105" s="9"/>
      <c r="P105" s="9"/>
      <c r="Q105" s="9"/>
      <c r="R105" s="9"/>
      <c r="S105" s="9"/>
      <c r="T105" s="9"/>
      <c r="U105" s="9"/>
    </row>
    <row r="106" spans="1:26">
      <c r="A106" s="49"/>
      <c r="B106" s="5"/>
      <c r="D106" s="9"/>
      <c r="N106" s="1"/>
      <c r="O106" s="9"/>
      <c r="P106" s="9"/>
      <c r="Q106" s="9"/>
      <c r="R106" s="9"/>
      <c r="S106" s="9"/>
      <c r="T106" s="9"/>
      <c r="U106" s="9"/>
    </row>
    <row r="107" spans="1:26">
      <c r="A107" s="30" t="s">
        <v>114</v>
      </c>
      <c r="B107" s="31" t="s">
        <v>115</v>
      </c>
      <c r="C107" s="31" t="s">
        <v>116</v>
      </c>
      <c r="D107" s="31" t="s">
        <v>117</v>
      </c>
      <c r="E107" s="31" t="s">
        <v>118</v>
      </c>
      <c r="F107" s="31" t="s">
        <v>119</v>
      </c>
      <c r="G107" s="31" t="s">
        <v>120</v>
      </c>
      <c r="H107" s="31" t="s">
        <v>121</v>
      </c>
      <c r="I107" s="31" t="s">
        <v>122</v>
      </c>
      <c r="J107" s="31" t="s">
        <v>123</v>
      </c>
      <c r="K107" s="31" t="s">
        <v>143</v>
      </c>
      <c r="L107" s="31" t="s">
        <v>125</v>
      </c>
      <c r="M107" s="31" t="s">
        <v>126</v>
      </c>
      <c r="N107" s="31" t="s">
        <v>116</v>
      </c>
      <c r="O107" s="31" t="s">
        <v>117</v>
      </c>
      <c r="P107" s="31" t="s">
        <v>118</v>
      </c>
      <c r="Q107" s="31" t="s">
        <v>119</v>
      </c>
      <c r="R107" s="31" t="s">
        <v>120</v>
      </c>
      <c r="S107" s="161" t="s">
        <v>121</v>
      </c>
      <c r="T107" s="31" t="s">
        <v>122</v>
      </c>
      <c r="U107" s="31" t="s">
        <v>199</v>
      </c>
      <c r="V107" s="144" t="s">
        <v>200</v>
      </c>
      <c r="W107" s="144" t="s">
        <v>201</v>
      </c>
      <c r="X107" s="144" t="s">
        <v>202</v>
      </c>
      <c r="Y107" s="144" t="s">
        <v>203</v>
      </c>
      <c r="Z107" s="70" t="s">
        <v>127</v>
      </c>
    </row>
    <row r="108" spans="1:26">
      <c r="A108" s="33" t="s">
        <v>33</v>
      </c>
      <c r="B108" s="34">
        <v>1</v>
      </c>
      <c r="C108" s="34">
        <v>22018</v>
      </c>
      <c r="D108" s="34">
        <v>22018</v>
      </c>
      <c r="E108" s="34">
        <v>22018</v>
      </c>
      <c r="F108" s="34">
        <v>22018</v>
      </c>
      <c r="G108" s="34">
        <v>22018</v>
      </c>
      <c r="H108" s="34">
        <v>22018</v>
      </c>
      <c r="I108" s="34">
        <v>22018</v>
      </c>
      <c r="J108" s="35">
        <v>0</v>
      </c>
      <c r="K108" s="36">
        <v>4.5420000000000002E-2</v>
      </c>
      <c r="L108" s="37">
        <v>0.01</v>
      </c>
      <c r="M108" s="34">
        <v>0.02</v>
      </c>
      <c r="N108" s="50" t="str">
        <f>C108&amp;" ("&amp;TEXT(C108/1000,"0.000")&amp;" secs)"</f>
        <v>22018 (22.018 secs)</v>
      </c>
      <c r="O108" s="52" t="str">
        <f>D108&amp;" ("&amp;TEXT(D108/1000,"0.000")&amp;" secs)"</f>
        <v>22018 (22.018 secs)</v>
      </c>
      <c r="P108" s="52" t="str">
        <f t="shared" ref="P108:T112" si="18">E108&amp;" ("&amp;TEXT(E108/1000,"0.000")&amp;" secs)"</f>
        <v>22018 (22.018 secs)</v>
      </c>
      <c r="Q108" s="52" t="str">
        <f t="shared" si="18"/>
        <v>22018 (22.018 secs)</v>
      </c>
      <c r="R108" s="52" t="str">
        <f t="shared" si="18"/>
        <v>22018 (22.018 secs)</v>
      </c>
      <c r="S108" s="162" t="str">
        <f t="shared" si="18"/>
        <v>22018 (22.018 secs)</v>
      </c>
      <c r="T108" s="162" t="str">
        <f t="shared" si="18"/>
        <v>22018 (22.018 secs)</v>
      </c>
      <c r="U108" s="52">
        <v>0.73829999999999996</v>
      </c>
      <c r="V108" s="155">
        <v>0.45</v>
      </c>
      <c r="W108" s="155" t="s">
        <v>207</v>
      </c>
      <c r="X108" s="155" t="s">
        <v>208</v>
      </c>
      <c r="Y108" s="155">
        <v>0</v>
      </c>
      <c r="Z108" s="71"/>
    </row>
    <row r="109" spans="1:26">
      <c r="A109" s="33" t="s">
        <v>38</v>
      </c>
      <c r="B109" s="34">
        <v>1</v>
      </c>
      <c r="C109" s="34">
        <v>157</v>
      </c>
      <c r="D109" s="34">
        <v>157</v>
      </c>
      <c r="E109" s="34">
        <v>157</v>
      </c>
      <c r="F109" s="34">
        <v>157</v>
      </c>
      <c r="G109" s="34">
        <v>157</v>
      </c>
      <c r="H109" s="34">
        <v>157</v>
      </c>
      <c r="I109" s="34">
        <v>157</v>
      </c>
      <c r="J109" s="35">
        <v>0</v>
      </c>
      <c r="K109" s="36">
        <v>6.3694300000000004</v>
      </c>
      <c r="L109" s="37">
        <v>56.32</v>
      </c>
      <c r="M109" s="34">
        <v>2.15</v>
      </c>
      <c r="N109" s="52" t="str">
        <f t="shared" ref="N109:O112" si="19">C109&amp;" ("&amp;TEXT(C109/1000,"0.000")&amp;" secs)"</f>
        <v>157 (0.157 secs)</v>
      </c>
      <c r="O109" s="52" t="str">
        <f t="shared" si="19"/>
        <v>157 (0.157 secs)</v>
      </c>
      <c r="P109" s="52" t="str">
        <f t="shared" si="18"/>
        <v>157 (0.157 secs)</v>
      </c>
      <c r="Q109" s="52" t="str">
        <f t="shared" si="18"/>
        <v>157 (0.157 secs)</v>
      </c>
      <c r="R109" s="52" t="str">
        <f t="shared" si="18"/>
        <v>157 (0.157 secs)</v>
      </c>
      <c r="S109" s="162" t="str">
        <f t="shared" si="18"/>
        <v>157 (0.157 secs)</v>
      </c>
      <c r="T109" s="162" t="str">
        <f t="shared" si="18"/>
        <v>157 (0.157 secs)</v>
      </c>
      <c r="U109" s="52"/>
      <c r="V109" s="156"/>
      <c r="W109" s="156"/>
      <c r="X109" s="156"/>
      <c r="Y109" s="156"/>
      <c r="Z109" s="71"/>
    </row>
    <row r="110" spans="1:26">
      <c r="A110" s="33" t="s">
        <v>39</v>
      </c>
      <c r="B110" s="34">
        <v>1</v>
      </c>
      <c r="C110" s="34">
        <v>142</v>
      </c>
      <c r="D110" s="34">
        <v>142</v>
      </c>
      <c r="E110" s="34">
        <v>142</v>
      </c>
      <c r="F110" s="34">
        <v>142</v>
      </c>
      <c r="G110" s="34">
        <v>142</v>
      </c>
      <c r="H110" s="34">
        <v>142</v>
      </c>
      <c r="I110" s="34">
        <v>142</v>
      </c>
      <c r="J110" s="35">
        <v>0</v>
      </c>
      <c r="K110" s="36">
        <v>7.0422500000000001</v>
      </c>
      <c r="L110" s="37">
        <v>1.51</v>
      </c>
      <c r="M110" s="34">
        <v>2.68</v>
      </c>
      <c r="N110" s="52" t="str">
        <f t="shared" si="19"/>
        <v>142 (0.142 secs)</v>
      </c>
      <c r="O110" s="52" t="str">
        <f t="shared" si="19"/>
        <v>142 (0.142 secs)</v>
      </c>
      <c r="P110" s="52" t="str">
        <f t="shared" si="18"/>
        <v>142 (0.142 secs)</v>
      </c>
      <c r="Q110" s="52" t="str">
        <f t="shared" si="18"/>
        <v>142 (0.142 secs)</v>
      </c>
      <c r="R110" s="52" t="str">
        <f t="shared" si="18"/>
        <v>142 (0.142 secs)</v>
      </c>
      <c r="S110" s="162" t="str">
        <f t="shared" si="18"/>
        <v>142 (0.142 secs)</v>
      </c>
      <c r="T110" s="162" t="str">
        <f t="shared" si="18"/>
        <v>142 (0.142 secs)</v>
      </c>
      <c r="U110" s="52"/>
      <c r="V110" s="156"/>
      <c r="W110" s="156"/>
      <c r="X110" s="156"/>
      <c r="Y110" s="156"/>
      <c r="Z110" s="71"/>
    </row>
    <row r="111" spans="1:26">
      <c r="A111" s="33" t="s">
        <v>40</v>
      </c>
      <c r="B111" s="34">
        <v>1</v>
      </c>
      <c r="C111" s="34">
        <v>118</v>
      </c>
      <c r="D111" s="34">
        <v>118</v>
      </c>
      <c r="E111" s="34">
        <v>118</v>
      </c>
      <c r="F111" s="34">
        <v>118</v>
      </c>
      <c r="G111" s="34">
        <v>118</v>
      </c>
      <c r="H111" s="34">
        <v>118</v>
      </c>
      <c r="I111" s="34">
        <v>118</v>
      </c>
      <c r="J111" s="35">
        <v>0</v>
      </c>
      <c r="K111" s="36">
        <v>8.4745799999999996</v>
      </c>
      <c r="L111" s="37">
        <v>4.49</v>
      </c>
      <c r="M111" s="34">
        <v>3.07</v>
      </c>
      <c r="N111" s="52" t="str">
        <f t="shared" si="19"/>
        <v>118 (0.118 secs)</v>
      </c>
      <c r="O111" s="52" t="str">
        <f t="shared" si="19"/>
        <v>118 (0.118 secs)</v>
      </c>
      <c r="P111" s="52" t="str">
        <f t="shared" si="18"/>
        <v>118 (0.118 secs)</v>
      </c>
      <c r="Q111" s="52" t="str">
        <f t="shared" si="18"/>
        <v>118 (0.118 secs)</v>
      </c>
      <c r="R111" s="52" t="str">
        <f t="shared" si="18"/>
        <v>118 (0.118 secs)</v>
      </c>
      <c r="S111" s="162" t="str">
        <f t="shared" si="18"/>
        <v>118 (0.118 secs)</v>
      </c>
      <c r="T111" s="162" t="str">
        <f t="shared" si="18"/>
        <v>118 (0.118 secs)</v>
      </c>
      <c r="U111" s="52"/>
      <c r="V111" s="156"/>
      <c r="W111" s="156"/>
      <c r="X111" s="156"/>
      <c r="Y111" s="156"/>
      <c r="Z111" s="71"/>
    </row>
    <row r="112" spans="1:26" ht="15" thickBot="1">
      <c r="A112" s="38" t="s">
        <v>128</v>
      </c>
      <c r="B112" s="39">
        <v>4</v>
      </c>
      <c r="C112" s="39">
        <v>5608</v>
      </c>
      <c r="D112" s="39">
        <v>142</v>
      </c>
      <c r="E112" s="39">
        <v>22018</v>
      </c>
      <c r="F112" s="39">
        <v>22018</v>
      </c>
      <c r="G112" s="39">
        <v>22018</v>
      </c>
      <c r="H112" s="39">
        <v>118</v>
      </c>
      <c r="I112" s="39">
        <v>22018</v>
      </c>
      <c r="J112" s="40">
        <v>0</v>
      </c>
      <c r="K112" s="41">
        <v>0.17802999999999999</v>
      </c>
      <c r="L112" s="42">
        <v>0.44</v>
      </c>
      <c r="M112" s="39">
        <v>7.0000000000000007E-2</v>
      </c>
      <c r="N112" s="53" t="str">
        <f t="shared" si="19"/>
        <v>5608 (5.608 secs)</v>
      </c>
      <c r="O112" s="53" t="str">
        <f t="shared" si="19"/>
        <v>142 (0.142 secs)</v>
      </c>
      <c r="P112" s="53" t="str">
        <f t="shared" si="18"/>
        <v>22018 (22.018 secs)</v>
      </c>
      <c r="Q112" s="53" t="str">
        <f t="shared" si="18"/>
        <v>22018 (22.018 secs)</v>
      </c>
      <c r="R112" s="53" t="str">
        <f t="shared" si="18"/>
        <v>22018 (22.018 secs)</v>
      </c>
      <c r="S112" s="163" t="str">
        <f t="shared" si="18"/>
        <v>118 (0.118 secs)</v>
      </c>
      <c r="T112" s="163" t="str">
        <f t="shared" si="18"/>
        <v>22018 (22.018 secs)</v>
      </c>
      <c r="U112" s="53"/>
      <c r="V112" s="157"/>
      <c r="W112" s="157"/>
      <c r="X112" s="157"/>
      <c r="Y112" s="157"/>
      <c r="Z112" s="72"/>
    </row>
    <row r="114" spans="1:26">
      <c r="A114" s="21" t="s">
        <v>64</v>
      </c>
      <c r="B114" s="22" t="s">
        <v>149</v>
      </c>
      <c r="C114" s="25"/>
      <c r="D114" s="24"/>
      <c r="E114" s="25"/>
      <c r="F114" s="25"/>
      <c r="G114" s="25"/>
      <c r="H114" s="25"/>
      <c r="I114" s="25"/>
      <c r="J114" s="25"/>
      <c r="K114" s="25"/>
      <c r="N114" s="1"/>
      <c r="O114" s="9"/>
      <c r="P114" s="9"/>
      <c r="Q114" s="9"/>
      <c r="R114" s="9"/>
      <c r="S114" s="9"/>
      <c r="T114" s="9"/>
      <c r="U114" s="9"/>
    </row>
    <row r="115" spans="1:26">
      <c r="A115" s="48" t="s">
        <v>13</v>
      </c>
      <c r="B115" s="27" t="s">
        <v>209</v>
      </c>
      <c r="C115" s="24"/>
      <c r="D115" s="24"/>
      <c r="E115" s="25"/>
      <c r="F115" s="25"/>
      <c r="G115" s="25"/>
      <c r="H115" s="25"/>
      <c r="I115" s="25"/>
      <c r="J115" s="25"/>
      <c r="K115" s="25"/>
      <c r="N115" s="1"/>
      <c r="O115" s="9"/>
      <c r="P115" s="9"/>
      <c r="Q115" s="9"/>
      <c r="R115" s="9"/>
      <c r="S115" s="9"/>
      <c r="T115" s="9"/>
      <c r="U115" s="9"/>
    </row>
    <row r="116" spans="1:26">
      <c r="A116" s="49"/>
      <c r="B116" s="5"/>
      <c r="D116" s="9"/>
      <c r="N116" s="1"/>
      <c r="O116" s="9"/>
      <c r="P116" s="9"/>
      <c r="Q116" s="9"/>
      <c r="R116" s="9"/>
      <c r="S116" s="9"/>
      <c r="T116" s="9"/>
      <c r="U116" s="9"/>
    </row>
    <row r="117" spans="1:26">
      <c r="A117" s="30" t="s">
        <v>114</v>
      </c>
      <c r="B117" s="31" t="s">
        <v>115</v>
      </c>
      <c r="C117" s="31" t="s">
        <v>116</v>
      </c>
      <c r="D117" s="31" t="s">
        <v>117</v>
      </c>
      <c r="E117" s="31" t="s">
        <v>118</v>
      </c>
      <c r="F117" s="31" t="s">
        <v>119</v>
      </c>
      <c r="G117" s="31" t="s">
        <v>120</v>
      </c>
      <c r="H117" s="31" t="s">
        <v>121</v>
      </c>
      <c r="I117" s="31" t="s">
        <v>122</v>
      </c>
      <c r="J117" s="31" t="s">
        <v>123</v>
      </c>
      <c r="K117" s="31" t="s">
        <v>143</v>
      </c>
      <c r="L117" s="31" t="s">
        <v>125</v>
      </c>
      <c r="M117" s="31" t="s">
        <v>126</v>
      </c>
      <c r="N117" s="31" t="s">
        <v>116</v>
      </c>
      <c r="O117" s="31" t="s">
        <v>117</v>
      </c>
      <c r="P117" s="31" t="s">
        <v>118</v>
      </c>
      <c r="Q117" s="31" t="s">
        <v>119</v>
      </c>
      <c r="R117" s="31" t="s">
        <v>120</v>
      </c>
      <c r="S117" s="161" t="s">
        <v>121</v>
      </c>
      <c r="T117" s="31" t="s">
        <v>122</v>
      </c>
      <c r="U117" s="31" t="s">
        <v>199</v>
      </c>
      <c r="V117" s="144" t="s">
        <v>200</v>
      </c>
      <c r="W117" s="144" t="s">
        <v>201</v>
      </c>
      <c r="X117" s="144" t="s">
        <v>202</v>
      </c>
      <c r="Y117" s="144" t="s">
        <v>203</v>
      </c>
      <c r="Z117" s="70" t="s">
        <v>127</v>
      </c>
    </row>
    <row r="118" spans="1:26">
      <c r="A118" s="33" t="s">
        <v>33</v>
      </c>
      <c r="B118" s="34">
        <v>1</v>
      </c>
      <c r="C118" s="34">
        <v>587845</v>
      </c>
      <c r="D118" s="34">
        <v>587845</v>
      </c>
      <c r="E118" s="34">
        <v>587845</v>
      </c>
      <c r="F118" s="34">
        <v>587845</v>
      </c>
      <c r="G118" s="34">
        <v>587845</v>
      </c>
      <c r="H118" s="34">
        <v>587845</v>
      </c>
      <c r="I118" s="34">
        <v>587845</v>
      </c>
      <c r="J118" s="35">
        <v>0</v>
      </c>
      <c r="K118" s="36">
        <v>1.6999999999999999E-3</v>
      </c>
      <c r="L118" s="37">
        <v>0</v>
      </c>
      <c r="M118" s="34">
        <v>0</v>
      </c>
      <c r="N118" s="50" t="str">
        <f>C118&amp;" ("&amp;TEXT(C118/60000,"0.000")&amp;" mins)"</f>
        <v>587845 (9.797 mins)</v>
      </c>
      <c r="O118" s="52" t="str">
        <f t="shared" ref="O118:T118" si="20">D118&amp;" ("&amp;TEXT(D118/60000,"0.000")&amp;" mins)"</f>
        <v>587845 (9.797 mins)</v>
      </c>
      <c r="P118" s="52" t="str">
        <f t="shared" si="20"/>
        <v>587845 (9.797 mins)</v>
      </c>
      <c r="Q118" s="52" t="str">
        <f t="shared" si="20"/>
        <v>587845 (9.797 mins)</v>
      </c>
      <c r="R118" s="52" t="str">
        <f t="shared" si="20"/>
        <v>587845 (9.797 mins)</v>
      </c>
      <c r="S118" s="162" t="str">
        <f t="shared" si="20"/>
        <v>587845 (9.797 mins)</v>
      </c>
      <c r="T118" s="52" t="str">
        <f t="shared" si="20"/>
        <v>587845 (9.797 mins)</v>
      </c>
      <c r="U118" s="35">
        <v>0.495</v>
      </c>
      <c r="V118" s="155" t="s">
        <v>210</v>
      </c>
      <c r="W118" s="155" t="s">
        <v>211</v>
      </c>
      <c r="X118" s="155" t="s">
        <v>212</v>
      </c>
      <c r="Y118" s="155">
        <v>0</v>
      </c>
      <c r="Z118" s="71" t="s">
        <v>150</v>
      </c>
    </row>
    <row r="119" spans="1:26">
      <c r="A119" s="33" t="s">
        <v>38</v>
      </c>
      <c r="B119" s="34">
        <v>1</v>
      </c>
      <c r="C119" s="34">
        <v>193</v>
      </c>
      <c r="D119" s="34">
        <v>193</v>
      </c>
      <c r="E119" s="34">
        <v>193</v>
      </c>
      <c r="F119" s="34">
        <v>193</v>
      </c>
      <c r="G119" s="34">
        <v>193</v>
      </c>
      <c r="H119" s="34">
        <v>193</v>
      </c>
      <c r="I119" s="34">
        <v>193</v>
      </c>
      <c r="J119" s="35">
        <v>0</v>
      </c>
      <c r="K119" s="36">
        <v>5.1813500000000001</v>
      </c>
      <c r="L119" s="37">
        <v>47.93</v>
      </c>
      <c r="M119" s="34">
        <v>1.75</v>
      </c>
      <c r="N119" s="52" t="str">
        <f t="shared" ref="N119:T122" si="21">C119&amp;" ("&amp;TEXT(C119/1000,"0.000")&amp;" secs)"</f>
        <v>193 (0.193 secs)</v>
      </c>
      <c r="O119" s="52" t="str">
        <f t="shared" si="21"/>
        <v>193 (0.193 secs)</v>
      </c>
      <c r="P119" s="52" t="str">
        <f t="shared" si="21"/>
        <v>193 (0.193 secs)</v>
      </c>
      <c r="Q119" s="52" t="str">
        <f t="shared" si="21"/>
        <v>193 (0.193 secs)</v>
      </c>
      <c r="R119" s="52" t="str">
        <f t="shared" si="21"/>
        <v>193 (0.193 secs)</v>
      </c>
      <c r="S119" s="162" t="str">
        <f t="shared" si="21"/>
        <v>193 (0.193 secs)</v>
      </c>
      <c r="T119" s="162" t="str">
        <f t="shared" si="21"/>
        <v>193 (0.193 secs)</v>
      </c>
      <c r="U119" s="52"/>
      <c r="V119" s="156"/>
      <c r="W119" s="156"/>
      <c r="X119" s="156"/>
      <c r="Y119" s="156"/>
      <c r="Z119" s="71"/>
    </row>
    <row r="120" spans="1:26">
      <c r="A120" s="33" t="s">
        <v>39</v>
      </c>
      <c r="B120" s="34">
        <v>1</v>
      </c>
      <c r="C120" s="34">
        <v>319</v>
      </c>
      <c r="D120" s="34">
        <v>319</v>
      </c>
      <c r="E120" s="34">
        <v>319</v>
      </c>
      <c r="F120" s="34">
        <v>319</v>
      </c>
      <c r="G120" s="34">
        <v>319</v>
      </c>
      <c r="H120" s="34">
        <v>319</v>
      </c>
      <c r="I120" s="34">
        <v>319</v>
      </c>
      <c r="J120" s="54">
        <v>1</v>
      </c>
      <c r="K120" s="36">
        <v>3.1347999999999998</v>
      </c>
      <c r="L120" s="37">
        <v>0.57999999999999996</v>
      </c>
      <c r="M120" s="34">
        <v>1.19</v>
      </c>
      <c r="N120" s="52" t="str">
        <f t="shared" si="21"/>
        <v>319 (0.319 secs)</v>
      </c>
      <c r="O120" s="52" t="str">
        <f t="shared" si="21"/>
        <v>319 (0.319 secs)</v>
      </c>
      <c r="P120" s="52" t="str">
        <f t="shared" si="21"/>
        <v>319 (0.319 secs)</v>
      </c>
      <c r="Q120" s="52" t="str">
        <f t="shared" si="21"/>
        <v>319 (0.319 secs)</v>
      </c>
      <c r="R120" s="52" t="str">
        <f t="shared" si="21"/>
        <v>319 (0.319 secs)</v>
      </c>
      <c r="S120" s="162" t="str">
        <f t="shared" si="21"/>
        <v>319 (0.319 secs)</v>
      </c>
      <c r="T120" s="162" t="str">
        <f t="shared" si="21"/>
        <v>319 (0.319 secs)</v>
      </c>
      <c r="U120" s="52"/>
      <c r="V120" s="156"/>
      <c r="W120" s="156"/>
      <c r="X120" s="156"/>
      <c r="Y120" s="156"/>
      <c r="Z120" s="71" t="s">
        <v>151</v>
      </c>
    </row>
    <row r="121" spans="1:26">
      <c r="A121" s="33" t="s">
        <v>40</v>
      </c>
      <c r="B121" s="34">
        <v>1</v>
      </c>
      <c r="C121" s="34">
        <v>149</v>
      </c>
      <c r="D121" s="34">
        <v>149</v>
      </c>
      <c r="E121" s="34">
        <v>149</v>
      </c>
      <c r="F121" s="34">
        <v>149</v>
      </c>
      <c r="G121" s="34">
        <v>149</v>
      </c>
      <c r="H121" s="34">
        <v>149</v>
      </c>
      <c r="I121" s="34">
        <v>149</v>
      </c>
      <c r="J121" s="35">
        <v>0</v>
      </c>
      <c r="K121" s="36">
        <v>6.7114099999999999</v>
      </c>
      <c r="L121" s="37">
        <v>4.43</v>
      </c>
      <c r="M121" s="34">
        <v>2.46</v>
      </c>
      <c r="N121" s="52" t="str">
        <f t="shared" si="21"/>
        <v>149 (0.149 secs)</v>
      </c>
      <c r="O121" s="52" t="str">
        <f t="shared" si="21"/>
        <v>149 (0.149 secs)</v>
      </c>
      <c r="P121" s="52" t="str">
        <f t="shared" si="21"/>
        <v>149 (0.149 secs)</v>
      </c>
      <c r="Q121" s="52" t="str">
        <f t="shared" si="21"/>
        <v>149 (0.149 secs)</v>
      </c>
      <c r="R121" s="52" t="str">
        <f t="shared" si="21"/>
        <v>149 (0.149 secs)</v>
      </c>
      <c r="S121" s="162" t="str">
        <f t="shared" si="21"/>
        <v>149 (0.149 secs)</v>
      </c>
      <c r="T121" s="162" t="str">
        <f t="shared" si="21"/>
        <v>149 (0.149 secs)</v>
      </c>
      <c r="U121" s="52"/>
      <c r="V121" s="156"/>
      <c r="W121" s="156"/>
      <c r="X121" s="156"/>
      <c r="Y121" s="156"/>
      <c r="Z121" s="71"/>
    </row>
    <row r="122" spans="1:26" ht="15" thickBot="1">
      <c r="A122" s="38" t="s">
        <v>128</v>
      </c>
      <c r="B122" s="39">
        <v>4</v>
      </c>
      <c r="C122" s="39">
        <v>147126</v>
      </c>
      <c r="D122" s="39">
        <v>193</v>
      </c>
      <c r="E122" s="39">
        <v>587845</v>
      </c>
      <c r="F122" s="39">
        <v>587845</v>
      </c>
      <c r="G122" s="39">
        <v>587845</v>
      </c>
      <c r="H122" s="39">
        <v>149</v>
      </c>
      <c r="I122" s="39">
        <v>587845</v>
      </c>
      <c r="J122" s="56">
        <v>0.25</v>
      </c>
      <c r="K122" s="41">
        <v>6.7999999999999996E-3</v>
      </c>
      <c r="L122" s="42">
        <v>0.02</v>
      </c>
      <c r="M122" s="39">
        <v>0</v>
      </c>
      <c r="N122" s="57" t="str">
        <f>C122&amp;" ("&amp;TEXT(C122/60000,"0.000")&amp;" mins)"</f>
        <v>147126 (2.452 mins)</v>
      </c>
      <c r="O122" s="53" t="str">
        <f t="shared" si="21"/>
        <v>193 (0.193 secs)</v>
      </c>
      <c r="P122" s="53" t="str">
        <f>E122&amp;" ("&amp;TEXT(E122/60000,"0.000")&amp;" mins)"</f>
        <v>587845 (9.797 mins)</v>
      </c>
      <c r="Q122" s="53" t="str">
        <f t="shared" ref="Q122:T122" si="22">F122&amp;" ("&amp;TEXT(F122/60000,"0.000")&amp;" mins)"</f>
        <v>587845 (9.797 mins)</v>
      </c>
      <c r="R122" s="53" t="str">
        <f t="shared" si="22"/>
        <v>587845 (9.797 mins)</v>
      </c>
      <c r="S122" s="163" t="str">
        <f>H122&amp;" ("&amp;TEXT(H122/1000,"0.000")&amp;" secs)"</f>
        <v>149 (0.149 secs)</v>
      </c>
      <c r="T122" s="163" t="str">
        <f t="shared" si="22"/>
        <v>587845 (9.797 mins)</v>
      </c>
      <c r="U122" s="53"/>
      <c r="V122" s="157"/>
      <c r="W122" s="157"/>
      <c r="X122" s="157"/>
      <c r="Y122" s="157"/>
      <c r="Z122" s="72" t="s">
        <v>152</v>
      </c>
    </row>
    <row r="124" spans="1:26">
      <c r="A124" s="21" t="s">
        <v>68</v>
      </c>
      <c r="B124" s="22" t="s">
        <v>153</v>
      </c>
      <c r="C124" s="25"/>
      <c r="D124" s="24"/>
      <c r="E124" s="25"/>
      <c r="F124" s="25"/>
      <c r="G124" s="25"/>
      <c r="H124" s="25"/>
      <c r="I124" s="25"/>
      <c r="J124" s="25"/>
      <c r="K124" s="25"/>
      <c r="N124" s="1"/>
      <c r="O124" s="9"/>
      <c r="P124" s="9"/>
      <c r="Q124" s="9"/>
      <c r="R124" s="9"/>
      <c r="S124" s="9"/>
      <c r="T124" s="9"/>
      <c r="U124" s="9"/>
    </row>
    <row r="125" spans="1:26">
      <c r="A125" s="48" t="s">
        <v>13</v>
      </c>
      <c r="B125" s="27" t="s">
        <v>213</v>
      </c>
      <c r="C125" s="24"/>
      <c r="D125" s="24"/>
      <c r="E125" s="25"/>
      <c r="F125" s="25"/>
      <c r="G125" s="25"/>
      <c r="H125" s="25"/>
      <c r="I125" s="25"/>
      <c r="J125" s="25"/>
      <c r="K125" s="25"/>
      <c r="N125" s="1"/>
      <c r="O125" s="9"/>
      <c r="P125" s="9"/>
      <c r="Q125" s="9"/>
      <c r="R125" s="9"/>
      <c r="S125" s="9"/>
      <c r="T125" s="9"/>
      <c r="U125" s="9"/>
    </row>
    <row r="126" spans="1:26">
      <c r="A126" s="49"/>
      <c r="B126" s="5"/>
      <c r="D126" s="9"/>
      <c r="N126" s="1"/>
      <c r="O126" s="9"/>
      <c r="P126" s="9"/>
      <c r="Q126" s="9"/>
      <c r="R126" s="9"/>
      <c r="S126" s="9"/>
      <c r="T126" s="9"/>
      <c r="U126" s="9"/>
    </row>
    <row r="127" spans="1:26">
      <c r="A127" s="30" t="s">
        <v>114</v>
      </c>
      <c r="B127" s="31" t="s">
        <v>115</v>
      </c>
      <c r="C127" s="31" t="s">
        <v>116</v>
      </c>
      <c r="D127" s="31" t="s">
        <v>117</v>
      </c>
      <c r="E127" s="31" t="s">
        <v>118</v>
      </c>
      <c r="F127" s="31" t="s">
        <v>119</v>
      </c>
      <c r="G127" s="31" t="s">
        <v>120</v>
      </c>
      <c r="H127" s="31" t="s">
        <v>121</v>
      </c>
      <c r="I127" s="31" t="s">
        <v>122</v>
      </c>
      <c r="J127" s="31" t="s">
        <v>123</v>
      </c>
      <c r="K127" s="31" t="s">
        <v>143</v>
      </c>
      <c r="L127" s="31" t="s">
        <v>125</v>
      </c>
      <c r="M127" s="31" t="s">
        <v>126</v>
      </c>
      <c r="N127" s="31" t="s">
        <v>116</v>
      </c>
      <c r="O127" s="31" t="s">
        <v>117</v>
      </c>
      <c r="P127" s="31" t="s">
        <v>118</v>
      </c>
      <c r="Q127" s="31" t="s">
        <v>119</v>
      </c>
      <c r="R127" s="31" t="s">
        <v>120</v>
      </c>
      <c r="S127" s="161" t="s">
        <v>121</v>
      </c>
      <c r="T127" s="31" t="s">
        <v>122</v>
      </c>
      <c r="U127" s="31" t="s">
        <v>199</v>
      </c>
      <c r="V127" s="144" t="s">
        <v>200</v>
      </c>
      <c r="W127" s="144" t="s">
        <v>201</v>
      </c>
      <c r="X127" s="144" t="s">
        <v>202</v>
      </c>
      <c r="Y127" s="144" t="s">
        <v>203</v>
      </c>
      <c r="Z127" s="70" t="s">
        <v>127</v>
      </c>
    </row>
    <row r="128" spans="1:26">
      <c r="A128" s="33" t="s">
        <v>33</v>
      </c>
      <c r="B128" s="34">
        <v>1</v>
      </c>
      <c r="C128" s="34">
        <v>1469</v>
      </c>
      <c r="D128" s="34">
        <v>1469</v>
      </c>
      <c r="E128" s="34">
        <v>1469</v>
      </c>
      <c r="F128" s="34">
        <v>1469</v>
      </c>
      <c r="G128" s="34">
        <v>1469</v>
      </c>
      <c r="H128" s="34">
        <v>1469</v>
      </c>
      <c r="I128" s="34">
        <v>1469</v>
      </c>
      <c r="J128" s="35">
        <v>0</v>
      </c>
      <c r="K128" s="36">
        <v>0.68074000000000001</v>
      </c>
      <c r="L128" s="37">
        <v>0.19</v>
      </c>
      <c r="M128" s="34">
        <v>0.31</v>
      </c>
      <c r="N128" s="52" t="str">
        <f>C128&amp;" ("&amp;TEXT(C128/1000,"0.000")&amp;" secs)"</f>
        <v>1469 (1.469 secs)</v>
      </c>
      <c r="O128" s="52" t="str">
        <f>D128&amp;" ("&amp;TEXT(D128/1000,"0.000")&amp;" secs)"</f>
        <v>1469 (1.469 secs)</v>
      </c>
      <c r="P128" s="52" t="str">
        <f t="shared" ref="P128:T132" si="23">E128&amp;" ("&amp;TEXT(E128/1000,"0.000")&amp;" secs)"</f>
        <v>1469 (1.469 secs)</v>
      </c>
      <c r="Q128" s="52" t="str">
        <f t="shared" si="23"/>
        <v>1469 (1.469 secs)</v>
      </c>
      <c r="R128" s="52" t="str">
        <f t="shared" si="23"/>
        <v>1469 (1.469 secs)</v>
      </c>
      <c r="S128" s="162" t="str">
        <f t="shared" si="23"/>
        <v>1469 (1.469 secs)</v>
      </c>
      <c r="T128" s="52" t="str">
        <f t="shared" si="23"/>
        <v>1469 (1.469 secs)</v>
      </c>
      <c r="U128" s="35">
        <v>0.1636</v>
      </c>
      <c r="V128" s="155" t="s">
        <v>214</v>
      </c>
      <c r="W128" s="155" t="s">
        <v>215</v>
      </c>
      <c r="X128" s="155" t="s">
        <v>216</v>
      </c>
      <c r="Y128" s="155">
        <v>0</v>
      </c>
      <c r="Z128" s="80" t="s">
        <v>154</v>
      </c>
    </row>
    <row r="129" spans="1:26">
      <c r="A129" s="33" t="s">
        <v>38</v>
      </c>
      <c r="B129" s="34">
        <v>1</v>
      </c>
      <c r="C129" s="34">
        <v>1165</v>
      </c>
      <c r="D129" s="34">
        <v>1165</v>
      </c>
      <c r="E129" s="34">
        <v>1165</v>
      </c>
      <c r="F129" s="34">
        <v>1165</v>
      </c>
      <c r="G129" s="34">
        <v>1165</v>
      </c>
      <c r="H129" s="34">
        <v>1165</v>
      </c>
      <c r="I129" s="34">
        <v>1165</v>
      </c>
      <c r="J129" s="35">
        <v>0</v>
      </c>
      <c r="K129" s="36">
        <v>0.85836999999999997</v>
      </c>
      <c r="L129" s="37">
        <v>7.94</v>
      </c>
      <c r="M129" s="34">
        <v>0.28999999999999998</v>
      </c>
      <c r="N129" s="52" t="str">
        <f t="shared" ref="N129:O132" si="24">C129&amp;" ("&amp;TEXT(C129/1000,"0.000")&amp;" secs)"</f>
        <v>1165 (1.165 secs)</v>
      </c>
      <c r="O129" s="52" t="str">
        <f t="shared" si="24"/>
        <v>1165 (1.165 secs)</v>
      </c>
      <c r="P129" s="52" t="str">
        <f t="shared" si="23"/>
        <v>1165 (1.165 secs)</v>
      </c>
      <c r="Q129" s="52" t="str">
        <f t="shared" si="23"/>
        <v>1165 (1.165 secs)</v>
      </c>
      <c r="R129" s="52" t="str">
        <f t="shared" si="23"/>
        <v>1165 (1.165 secs)</v>
      </c>
      <c r="S129" s="162" t="str">
        <f t="shared" si="23"/>
        <v>1165 (1.165 secs)</v>
      </c>
      <c r="T129" s="162" t="str">
        <f t="shared" si="23"/>
        <v>1165 (1.165 secs)</v>
      </c>
      <c r="U129" s="52"/>
      <c r="V129" s="156"/>
      <c r="W129" s="156"/>
      <c r="X129" s="156"/>
      <c r="Y129" s="156"/>
      <c r="Z129" s="71"/>
    </row>
    <row r="130" spans="1:26">
      <c r="A130" s="33" t="s">
        <v>39</v>
      </c>
      <c r="B130" s="34">
        <v>1</v>
      </c>
      <c r="C130" s="34">
        <v>4649</v>
      </c>
      <c r="D130" s="34">
        <v>4649</v>
      </c>
      <c r="E130" s="34">
        <v>4649</v>
      </c>
      <c r="F130" s="34">
        <v>4649</v>
      </c>
      <c r="G130" s="34">
        <v>4649</v>
      </c>
      <c r="H130" s="34">
        <v>4649</v>
      </c>
      <c r="I130" s="34">
        <v>4649</v>
      </c>
      <c r="J130" s="35">
        <v>1</v>
      </c>
      <c r="K130" s="36">
        <v>0.21510000000000001</v>
      </c>
      <c r="L130" s="37">
        <v>0.51</v>
      </c>
      <c r="M130" s="34">
        <v>0</v>
      </c>
      <c r="N130" s="52" t="str">
        <f t="shared" si="24"/>
        <v>4649 (4.649 secs)</v>
      </c>
      <c r="O130" s="52" t="str">
        <f t="shared" si="24"/>
        <v>4649 (4.649 secs)</v>
      </c>
      <c r="P130" s="52" t="str">
        <f t="shared" si="23"/>
        <v>4649 (4.649 secs)</v>
      </c>
      <c r="Q130" s="52" t="str">
        <f t="shared" si="23"/>
        <v>4649 (4.649 secs)</v>
      </c>
      <c r="R130" s="52" t="str">
        <f t="shared" si="23"/>
        <v>4649 (4.649 secs)</v>
      </c>
      <c r="S130" s="162" t="str">
        <f t="shared" si="23"/>
        <v>4649 (4.649 secs)</v>
      </c>
      <c r="T130" s="162" t="str">
        <f t="shared" si="23"/>
        <v>4649 (4.649 secs)</v>
      </c>
      <c r="U130" s="52"/>
      <c r="V130" s="156"/>
      <c r="W130" s="156"/>
      <c r="X130" s="156"/>
      <c r="Y130" s="156"/>
      <c r="Z130" s="71"/>
    </row>
    <row r="131" spans="1:26">
      <c r="A131" s="33" t="s">
        <v>40</v>
      </c>
      <c r="B131" s="34">
        <v>1</v>
      </c>
      <c r="C131" s="34">
        <v>4719</v>
      </c>
      <c r="D131" s="34">
        <v>4719</v>
      </c>
      <c r="E131" s="34">
        <v>4719</v>
      </c>
      <c r="F131" s="34">
        <v>4719</v>
      </c>
      <c r="G131" s="34">
        <v>4719</v>
      </c>
      <c r="H131" s="34">
        <v>4719</v>
      </c>
      <c r="I131" s="34">
        <v>4719</v>
      </c>
      <c r="J131" s="35">
        <v>1</v>
      </c>
      <c r="K131" s="36">
        <v>0.21190999999999999</v>
      </c>
      <c r="L131" s="37">
        <v>0.51</v>
      </c>
      <c r="M131" s="34">
        <v>0</v>
      </c>
      <c r="N131" s="52" t="str">
        <f t="shared" si="24"/>
        <v>4719 (4.719 secs)</v>
      </c>
      <c r="O131" s="52" t="str">
        <f t="shared" si="24"/>
        <v>4719 (4.719 secs)</v>
      </c>
      <c r="P131" s="52" t="str">
        <f t="shared" si="23"/>
        <v>4719 (4.719 secs)</v>
      </c>
      <c r="Q131" s="52" t="str">
        <f t="shared" si="23"/>
        <v>4719 (4.719 secs)</v>
      </c>
      <c r="R131" s="52" t="str">
        <f t="shared" si="23"/>
        <v>4719 (4.719 secs)</v>
      </c>
      <c r="S131" s="162" t="str">
        <f t="shared" si="23"/>
        <v>4719 (4.719 secs)</v>
      </c>
      <c r="T131" s="162" t="str">
        <f t="shared" si="23"/>
        <v>4719 (4.719 secs)</v>
      </c>
      <c r="U131" s="52"/>
      <c r="V131" s="156"/>
      <c r="W131" s="156"/>
      <c r="X131" s="156"/>
      <c r="Y131" s="156"/>
      <c r="Z131" s="71"/>
    </row>
    <row r="132" spans="1:26" ht="15" thickBot="1">
      <c r="A132" s="38" t="s">
        <v>128</v>
      </c>
      <c r="B132" s="39">
        <v>4</v>
      </c>
      <c r="C132" s="39">
        <v>3000</v>
      </c>
      <c r="D132" s="39">
        <v>1469</v>
      </c>
      <c r="E132" s="39">
        <v>4719</v>
      </c>
      <c r="F132" s="39">
        <v>4719</v>
      </c>
      <c r="G132" s="39">
        <v>4719</v>
      </c>
      <c r="H132" s="39">
        <v>1165</v>
      </c>
      <c r="I132" s="39">
        <v>4719</v>
      </c>
      <c r="J132" s="40">
        <v>0.5</v>
      </c>
      <c r="K132" s="41">
        <v>0.33259</v>
      </c>
      <c r="L132" s="42">
        <v>1.19</v>
      </c>
      <c r="M132" s="39">
        <v>7.0000000000000007E-2</v>
      </c>
      <c r="N132" s="53" t="str">
        <f t="shared" si="24"/>
        <v>3000 (3.000 secs)</v>
      </c>
      <c r="O132" s="53" t="str">
        <f t="shared" si="24"/>
        <v>1469 (1.469 secs)</v>
      </c>
      <c r="P132" s="53" t="str">
        <f t="shared" si="23"/>
        <v>4719 (4.719 secs)</v>
      </c>
      <c r="Q132" s="53" t="str">
        <f t="shared" si="23"/>
        <v>4719 (4.719 secs)</v>
      </c>
      <c r="R132" s="53" t="str">
        <f t="shared" si="23"/>
        <v>4719 (4.719 secs)</v>
      </c>
      <c r="S132" s="163" t="str">
        <f t="shared" si="23"/>
        <v>1165 (1.165 secs)</v>
      </c>
      <c r="T132" s="163" t="str">
        <f t="shared" si="23"/>
        <v>4719 (4.719 secs)</v>
      </c>
      <c r="U132" s="53"/>
      <c r="V132" s="157"/>
      <c r="W132" s="157"/>
      <c r="X132" s="157"/>
      <c r="Y132" s="157"/>
      <c r="Z132" s="72"/>
    </row>
    <row r="134" spans="1:26">
      <c r="A134" s="21" t="s">
        <v>76</v>
      </c>
      <c r="B134" s="22" t="s">
        <v>155</v>
      </c>
      <c r="C134" s="25"/>
      <c r="D134" s="24"/>
      <c r="E134" s="25"/>
      <c r="F134" s="25"/>
      <c r="G134" s="25"/>
      <c r="H134" s="25"/>
      <c r="I134" s="25"/>
      <c r="J134" s="25"/>
      <c r="K134" s="25"/>
      <c r="N134" s="1"/>
      <c r="O134" s="9"/>
      <c r="P134" s="9"/>
      <c r="Q134" s="9"/>
      <c r="R134" s="9"/>
      <c r="S134" s="9"/>
      <c r="T134" s="9"/>
      <c r="U134" s="9"/>
    </row>
    <row r="135" spans="1:26">
      <c r="A135" s="48" t="s">
        <v>13</v>
      </c>
      <c r="B135" s="27" t="s">
        <v>217</v>
      </c>
      <c r="C135" s="24"/>
      <c r="D135" s="24"/>
      <c r="E135" s="25"/>
      <c r="F135" s="25"/>
      <c r="G135" s="25"/>
      <c r="H135" s="25"/>
      <c r="I135" s="25"/>
      <c r="J135" s="25"/>
      <c r="K135" s="25"/>
      <c r="N135" s="1"/>
      <c r="O135" s="9"/>
      <c r="P135" s="9"/>
      <c r="Q135" s="9"/>
      <c r="R135" s="9"/>
      <c r="S135" s="9"/>
      <c r="T135" s="9"/>
      <c r="U135" s="9"/>
    </row>
    <row r="136" spans="1:26">
      <c r="A136" s="49"/>
      <c r="B136" s="5"/>
      <c r="D136" s="9"/>
      <c r="N136" s="1"/>
      <c r="O136" s="9"/>
      <c r="P136" s="9"/>
      <c r="Q136" s="9"/>
      <c r="R136" s="9"/>
      <c r="S136" s="9"/>
      <c r="T136" s="9"/>
      <c r="U136" s="9"/>
    </row>
    <row r="137" spans="1:26">
      <c r="A137" s="30" t="s">
        <v>114</v>
      </c>
      <c r="B137" s="31" t="s">
        <v>115</v>
      </c>
      <c r="C137" s="31" t="s">
        <v>116</v>
      </c>
      <c r="D137" s="31" t="s">
        <v>117</v>
      </c>
      <c r="E137" s="31" t="s">
        <v>118</v>
      </c>
      <c r="F137" s="31" t="s">
        <v>119</v>
      </c>
      <c r="G137" s="31" t="s">
        <v>120</v>
      </c>
      <c r="H137" s="31" t="s">
        <v>121</v>
      </c>
      <c r="I137" s="31" t="s">
        <v>122</v>
      </c>
      <c r="J137" s="31" t="s">
        <v>123</v>
      </c>
      <c r="K137" s="31" t="s">
        <v>143</v>
      </c>
      <c r="L137" s="31" t="s">
        <v>125</v>
      </c>
      <c r="M137" s="31" t="s">
        <v>126</v>
      </c>
      <c r="N137" s="31" t="s">
        <v>116</v>
      </c>
      <c r="O137" s="31" t="s">
        <v>117</v>
      </c>
      <c r="P137" s="31" t="s">
        <v>118</v>
      </c>
      <c r="Q137" s="31" t="s">
        <v>119</v>
      </c>
      <c r="R137" s="31" t="s">
        <v>120</v>
      </c>
      <c r="S137" s="161" t="s">
        <v>121</v>
      </c>
      <c r="T137" s="31" t="s">
        <v>122</v>
      </c>
      <c r="U137" s="31" t="s">
        <v>199</v>
      </c>
      <c r="V137" s="144" t="s">
        <v>200</v>
      </c>
      <c r="W137" s="144" t="s">
        <v>201</v>
      </c>
      <c r="X137" s="144" t="s">
        <v>202</v>
      </c>
      <c r="Y137" s="144" t="s">
        <v>203</v>
      </c>
      <c r="Z137" s="70" t="s">
        <v>127</v>
      </c>
    </row>
    <row r="138" spans="1:26">
      <c r="A138" s="33" t="s">
        <v>33</v>
      </c>
      <c r="B138" s="34">
        <v>1</v>
      </c>
      <c r="C138" s="34">
        <v>1464</v>
      </c>
      <c r="D138" s="34">
        <v>1464</v>
      </c>
      <c r="E138" s="34">
        <v>1464</v>
      </c>
      <c r="F138" s="34">
        <v>1464</v>
      </c>
      <c r="G138" s="34">
        <v>1464</v>
      </c>
      <c r="H138" s="34">
        <v>1464</v>
      </c>
      <c r="I138" s="34">
        <v>1464</v>
      </c>
      <c r="J138" s="35">
        <v>0</v>
      </c>
      <c r="K138" s="36">
        <v>0.68306</v>
      </c>
      <c r="L138" s="37">
        <v>0.19</v>
      </c>
      <c r="M138" s="34">
        <v>0.31</v>
      </c>
      <c r="N138" s="52" t="str">
        <f>C138&amp;" ("&amp;TEXT(C138/1000,"0.000")&amp;" secs)"</f>
        <v>1464 (1.464 secs)</v>
      </c>
      <c r="O138" s="52" t="str">
        <f>D138&amp;" ("&amp;TEXT(D138/1000,"0.000")&amp;" secs)"</f>
        <v>1464 (1.464 secs)</v>
      </c>
      <c r="P138" s="52" t="str">
        <f t="shared" ref="P138:T142" si="25">E138&amp;" ("&amp;TEXT(E138/1000,"0.000")&amp;" secs)"</f>
        <v>1464 (1.464 secs)</v>
      </c>
      <c r="Q138" s="52" t="str">
        <f t="shared" si="25"/>
        <v>1464 (1.464 secs)</v>
      </c>
      <c r="R138" s="52" t="str">
        <f t="shared" si="25"/>
        <v>1464 (1.464 secs)</v>
      </c>
      <c r="S138" s="162" t="str">
        <f t="shared" si="25"/>
        <v>1464 (1.464 secs)</v>
      </c>
      <c r="T138" s="52" t="str">
        <f t="shared" si="25"/>
        <v>1464 (1.464 secs)</v>
      </c>
      <c r="U138" s="35">
        <v>0.15379999999999999</v>
      </c>
      <c r="V138" s="155" t="s">
        <v>214</v>
      </c>
      <c r="W138" s="156" t="s">
        <v>218</v>
      </c>
      <c r="X138" s="155" t="s">
        <v>219</v>
      </c>
      <c r="Y138" s="155">
        <v>0</v>
      </c>
      <c r="Z138" s="80" t="s">
        <v>154</v>
      </c>
    </row>
    <row r="139" spans="1:26">
      <c r="A139" s="33" t="s">
        <v>38</v>
      </c>
      <c r="B139" s="34">
        <v>1</v>
      </c>
      <c r="C139" s="34">
        <v>1099</v>
      </c>
      <c r="D139" s="34">
        <v>1099</v>
      </c>
      <c r="E139" s="34">
        <v>1099</v>
      </c>
      <c r="F139" s="34">
        <v>1099</v>
      </c>
      <c r="G139" s="34">
        <v>1099</v>
      </c>
      <c r="H139" s="34">
        <v>1099</v>
      </c>
      <c r="I139" s="34">
        <v>1099</v>
      </c>
      <c r="J139" s="35">
        <v>0</v>
      </c>
      <c r="K139" s="36">
        <v>0.90991999999999995</v>
      </c>
      <c r="L139" s="37">
        <v>8.42</v>
      </c>
      <c r="M139" s="34">
        <v>0.31</v>
      </c>
      <c r="N139" s="52" t="str">
        <f t="shared" ref="N139:O142" si="26">C139&amp;" ("&amp;TEXT(C139/1000,"0.000")&amp;" secs)"</f>
        <v>1099 (1.099 secs)</v>
      </c>
      <c r="O139" s="52" t="str">
        <f t="shared" si="26"/>
        <v>1099 (1.099 secs)</v>
      </c>
      <c r="P139" s="52" t="str">
        <f t="shared" si="25"/>
        <v>1099 (1.099 secs)</v>
      </c>
      <c r="Q139" s="52" t="str">
        <f t="shared" si="25"/>
        <v>1099 (1.099 secs)</v>
      </c>
      <c r="R139" s="52" t="str">
        <f t="shared" si="25"/>
        <v>1099 (1.099 secs)</v>
      </c>
      <c r="S139" s="162" t="str">
        <f t="shared" si="25"/>
        <v>1099 (1.099 secs)</v>
      </c>
      <c r="T139" s="162" t="str">
        <f t="shared" si="25"/>
        <v>1099 (1.099 secs)</v>
      </c>
      <c r="U139" s="52"/>
      <c r="V139" s="156"/>
      <c r="W139" s="156"/>
      <c r="X139" s="156"/>
      <c r="Y139" s="156"/>
      <c r="Z139" s="71"/>
    </row>
    <row r="140" spans="1:26">
      <c r="A140" s="33" t="s">
        <v>39</v>
      </c>
      <c r="B140" s="34">
        <v>1</v>
      </c>
      <c r="C140" s="34">
        <v>4388</v>
      </c>
      <c r="D140" s="34">
        <v>4388</v>
      </c>
      <c r="E140" s="34">
        <v>4388</v>
      </c>
      <c r="F140" s="34">
        <v>4388</v>
      </c>
      <c r="G140" s="34">
        <v>4388</v>
      </c>
      <c r="H140" s="34">
        <v>4388</v>
      </c>
      <c r="I140" s="34">
        <v>4388</v>
      </c>
      <c r="J140" s="35">
        <v>1</v>
      </c>
      <c r="K140" s="36">
        <v>0.22789000000000001</v>
      </c>
      <c r="L140" s="37">
        <v>0.54</v>
      </c>
      <c r="M140" s="34">
        <v>0</v>
      </c>
      <c r="N140" s="52" t="str">
        <f t="shared" si="26"/>
        <v>4388 (4.388 secs)</v>
      </c>
      <c r="O140" s="52" t="str">
        <f t="shared" si="26"/>
        <v>4388 (4.388 secs)</v>
      </c>
      <c r="P140" s="52" t="str">
        <f t="shared" si="25"/>
        <v>4388 (4.388 secs)</v>
      </c>
      <c r="Q140" s="52" t="str">
        <f t="shared" si="25"/>
        <v>4388 (4.388 secs)</v>
      </c>
      <c r="R140" s="52" t="str">
        <f t="shared" si="25"/>
        <v>4388 (4.388 secs)</v>
      </c>
      <c r="S140" s="162" t="str">
        <f t="shared" si="25"/>
        <v>4388 (4.388 secs)</v>
      </c>
      <c r="T140" s="162" t="str">
        <f t="shared" si="25"/>
        <v>4388 (4.388 secs)</v>
      </c>
      <c r="U140" s="52"/>
      <c r="V140" s="156"/>
      <c r="W140" s="156"/>
      <c r="X140" s="156"/>
      <c r="Y140" s="156"/>
      <c r="Z140" s="71"/>
    </row>
    <row r="141" spans="1:26">
      <c r="A141" s="33" t="s">
        <v>40</v>
      </c>
      <c r="B141" s="34">
        <v>1</v>
      </c>
      <c r="C141" s="34">
        <v>5030</v>
      </c>
      <c r="D141" s="34">
        <v>5030</v>
      </c>
      <c r="E141" s="34">
        <v>5030</v>
      </c>
      <c r="F141" s="34">
        <v>5030</v>
      </c>
      <c r="G141" s="34">
        <v>5030</v>
      </c>
      <c r="H141" s="34">
        <v>5030</v>
      </c>
      <c r="I141" s="34">
        <v>5030</v>
      </c>
      <c r="J141" s="35">
        <v>1</v>
      </c>
      <c r="K141" s="36">
        <v>0.19880999999999999</v>
      </c>
      <c r="L141" s="37">
        <v>0.47</v>
      </c>
      <c r="M141" s="34">
        <v>0</v>
      </c>
      <c r="N141" s="52" t="str">
        <f t="shared" si="26"/>
        <v>5030 (5.030 secs)</v>
      </c>
      <c r="O141" s="52" t="str">
        <f t="shared" si="26"/>
        <v>5030 (5.030 secs)</v>
      </c>
      <c r="P141" s="52" t="str">
        <f t="shared" si="25"/>
        <v>5030 (5.030 secs)</v>
      </c>
      <c r="Q141" s="52" t="str">
        <f t="shared" si="25"/>
        <v>5030 (5.030 secs)</v>
      </c>
      <c r="R141" s="52" t="str">
        <f t="shared" si="25"/>
        <v>5030 (5.030 secs)</v>
      </c>
      <c r="S141" s="162" t="str">
        <f t="shared" si="25"/>
        <v>5030 (5.030 secs)</v>
      </c>
      <c r="T141" s="162" t="str">
        <f t="shared" si="25"/>
        <v>5030 (5.030 secs)</v>
      </c>
      <c r="U141" s="52"/>
      <c r="V141" s="156"/>
      <c r="W141" s="156"/>
      <c r="X141" s="156"/>
      <c r="Y141" s="156"/>
      <c r="Z141" s="71"/>
    </row>
    <row r="142" spans="1:26" ht="15" thickBot="1">
      <c r="A142" s="38" t="s">
        <v>128</v>
      </c>
      <c r="B142" s="39">
        <v>4</v>
      </c>
      <c r="C142" s="39">
        <v>2995</v>
      </c>
      <c r="D142" s="39">
        <v>1464</v>
      </c>
      <c r="E142" s="39">
        <v>5030</v>
      </c>
      <c r="F142" s="39">
        <v>5030</v>
      </c>
      <c r="G142" s="39">
        <v>5030</v>
      </c>
      <c r="H142" s="39">
        <v>1099</v>
      </c>
      <c r="I142" s="39">
        <v>5030</v>
      </c>
      <c r="J142" s="40">
        <v>0.5</v>
      </c>
      <c r="K142" s="41">
        <v>0.33318999999999999</v>
      </c>
      <c r="L142" s="42">
        <v>1.19</v>
      </c>
      <c r="M142" s="39">
        <v>7.0000000000000007E-2</v>
      </c>
      <c r="N142" s="53" t="str">
        <f t="shared" si="26"/>
        <v>2995 (2.995 secs)</v>
      </c>
      <c r="O142" s="53" t="str">
        <f t="shared" si="26"/>
        <v>1464 (1.464 secs)</v>
      </c>
      <c r="P142" s="53" t="str">
        <f t="shared" si="25"/>
        <v>5030 (5.030 secs)</v>
      </c>
      <c r="Q142" s="53" t="str">
        <f t="shared" si="25"/>
        <v>5030 (5.030 secs)</v>
      </c>
      <c r="R142" s="53" t="str">
        <f t="shared" si="25"/>
        <v>5030 (5.030 secs)</v>
      </c>
      <c r="S142" s="163" t="str">
        <f t="shared" si="25"/>
        <v>1099 (1.099 secs)</v>
      </c>
      <c r="T142" s="163" t="str">
        <f t="shared" si="25"/>
        <v>5030 (5.030 secs)</v>
      </c>
      <c r="U142" s="53"/>
      <c r="V142" s="157"/>
      <c r="W142" s="157"/>
      <c r="X142" s="157"/>
      <c r="Y142" s="157"/>
      <c r="Z142" s="72"/>
    </row>
    <row r="144" spans="1:26">
      <c r="A144" s="21" t="s">
        <v>79</v>
      </c>
      <c r="B144" s="22" t="s">
        <v>80</v>
      </c>
      <c r="C144" s="25"/>
      <c r="D144" s="24"/>
      <c r="E144" s="25"/>
      <c r="F144" s="25"/>
      <c r="G144" s="25"/>
      <c r="H144" s="25"/>
      <c r="I144" s="25"/>
      <c r="J144" s="25"/>
      <c r="K144" s="25"/>
      <c r="N144" s="1"/>
      <c r="O144" s="9"/>
      <c r="P144" s="9"/>
      <c r="Q144" s="9"/>
      <c r="R144" s="9"/>
      <c r="S144" s="9"/>
      <c r="T144" s="9"/>
      <c r="U144" s="9"/>
    </row>
    <row r="145" spans="1:26">
      <c r="A145" s="48" t="s">
        <v>13</v>
      </c>
      <c r="B145" s="27" t="s">
        <v>220</v>
      </c>
      <c r="C145" s="24"/>
      <c r="D145" s="24"/>
      <c r="E145" s="25"/>
      <c r="F145" s="25"/>
      <c r="G145" s="25"/>
      <c r="H145" s="25"/>
      <c r="I145" s="25"/>
      <c r="J145" s="25"/>
      <c r="K145" s="25"/>
      <c r="N145" s="1"/>
      <c r="O145" s="9"/>
      <c r="P145" s="9"/>
      <c r="Q145" s="9"/>
      <c r="R145" s="9"/>
      <c r="S145" s="9"/>
      <c r="T145" s="9"/>
      <c r="U145" s="9"/>
    </row>
    <row r="146" spans="1:26">
      <c r="A146" s="49"/>
      <c r="B146" s="5"/>
      <c r="D146" s="9"/>
      <c r="N146" s="1"/>
      <c r="O146" s="9"/>
      <c r="P146" s="9"/>
      <c r="Q146" s="9"/>
      <c r="R146" s="9"/>
      <c r="S146" s="9"/>
      <c r="T146" s="9"/>
      <c r="U146" s="9"/>
    </row>
    <row r="147" spans="1:26">
      <c r="A147" s="30" t="s">
        <v>114</v>
      </c>
      <c r="B147" s="31" t="s">
        <v>115</v>
      </c>
      <c r="C147" s="31" t="s">
        <v>116</v>
      </c>
      <c r="D147" s="31" t="s">
        <v>117</v>
      </c>
      <c r="E147" s="31" t="s">
        <v>118</v>
      </c>
      <c r="F147" s="31" t="s">
        <v>119</v>
      </c>
      <c r="G147" s="31" t="s">
        <v>120</v>
      </c>
      <c r="H147" s="31" t="s">
        <v>121</v>
      </c>
      <c r="I147" s="31" t="s">
        <v>122</v>
      </c>
      <c r="J147" s="31" t="s">
        <v>123</v>
      </c>
      <c r="K147" s="31" t="s">
        <v>143</v>
      </c>
      <c r="L147" s="31" t="s">
        <v>125</v>
      </c>
      <c r="M147" s="31" t="s">
        <v>126</v>
      </c>
      <c r="N147" s="31" t="s">
        <v>116</v>
      </c>
      <c r="O147" s="31" t="s">
        <v>117</v>
      </c>
      <c r="P147" s="31" t="s">
        <v>118</v>
      </c>
      <c r="Q147" s="31" t="s">
        <v>119</v>
      </c>
      <c r="R147" s="31" t="s">
        <v>120</v>
      </c>
      <c r="S147" s="161" t="s">
        <v>121</v>
      </c>
      <c r="T147" s="31" t="s">
        <v>122</v>
      </c>
      <c r="U147" s="31" t="s">
        <v>199</v>
      </c>
      <c r="V147" s="144" t="s">
        <v>200</v>
      </c>
      <c r="W147" s="144" t="s">
        <v>201</v>
      </c>
      <c r="X147" s="144" t="s">
        <v>202</v>
      </c>
      <c r="Y147" s="144" t="s">
        <v>203</v>
      </c>
      <c r="Z147" s="70" t="s">
        <v>127</v>
      </c>
    </row>
    <row r="148" spans="1:26">
      <c r="A148" s="33" t="s">
        <v>33</v>
      </c>
      <c r="B148" s="34">
        <v>1</v>
      </c>
      <c r="C148" s="34">
        <v>116865</v>
      </c>
      <c r="D148" s="34">
        <v>116865</v>
      </c>
      <c r="E148" s="34">
        <v>116865</v>
      </c>
      <c r="F148" s="34">
        <v>116865</v>
      </c>
      <c r="G148" s="34">
        <v>116865</v>
      </c>
      <c r="H148" s="34">
        <v>116865</v>
      </c>
      <c r="I148" s="34">
        <v>116865</v>
      </c>
      <c r="J148" s="35">
        <v>0</v>
      </c>
      <c r="K148" s="36">
        <v>8.5599999999999999E-3</v>
      </c>
      <c r="L148" s="37">
        <v>0</v>
      </c>
      <c r="M148" s="34">
        <v>0</v>
      </c>
      <c r="N148" s="50" t="str">
        <f>C148&amp;" ("&amp;TEXT(C148/60000,"0.000")&amp;" mins)"</f>
        <v>116865 (1.948 mins)</v>
      </c>
      <c r="O148" s="52" t="str">
        <f t="shared" ref="O148:T148" si="27">D148&amp;" ("&amp;TEXT(D148/60000,"0.000")&amp;" mins)"</f>
        <v>116865 (1.948 mins)</v>
      </c>
      <c r="P148" s="52" t="str">
        <f t="shared" si="27"/>
        <v>116865 (1.948 mins)</v>
      </c>
      <c r="Q148" s="52" t="str">
        <f t="shared" si="27"/>
        <v>116865 (1.948 mins)</v>
      </c>
      <c r="R148" s="52" t="str">
        <f t="shared" si="27"/>
        <v>116865 (1.948 mins)</v>
      </c>
      <c r="S148" s="162" t="str">
        <f t="shared" si="27"/>
        <v>116865 (1.948 mins)</v>
      </c>
      <c r="T148" s="52" t="str">
        <f t="shared" si="27"/>
        <v>116865 (1.948 mins)</v>
      </c>
      <c r="U148" s="35">
        <v>0.41620000000000001</v>
      </c>
      <c r="V148" s="155" t="s">
        <v>221</v>
      </c>
      <c r="W148" s="156" t="s">
        <v>222</v>
      </c>
      <c r="X148" s="155" t="s">
        <v>223</v>
      </c>
      <c r="Y148" s="155">
        <v>0</v>
      </c>
      <c r="Z148" s="80" t="s">
        <v>156</v>
      </c>
    </row>
    <row r="149" spans="1:26">
      <c r="A149" s="33" t="s">
        <v>38</v>
      </c>
      <c r="B149" s="34">
        <v>1</v>
      </c>
      <c r="C149" s="34">
        <v>204</v>
      </c>
      <c r="D149" s="34">
        <v>204</v>
      </c>
      <c r="E149" s="34">
        <v>204</v>
      </c>
      <c r="F149" s="34">
        <v>204</v>
      </c>
      <c r="G149" s="34">
        <v>204</v>
      </c>
      <c r="H149" s="34">
        <v>204</v>
      </c>
      <c r="I149" s="34">
        <v>204</v>
      </c>
      <c r="J149" s="35">
        <v>0</v>
      </c>
      <c r="K149" s="36">
        <v>4.9019599999999999</v>
      </c>
      <c r="L149" s="37">
        <v>47.21</v>
      </c>
      <c r="M149" s="34">
        <v>1.66</v>
      </c>
      <c r="N149" s="52" t="str">
        <f t="shared" ref="N149:T152" si="28">C149&amp;" ("&amp;TEXT(C149/1000,"0.000")&amp;" secs)"</f>
        <v>204 (0.204 secs)</v>
      </c>
      <c r="O149" s="52" t="str">
        <f t="shared" si="28"/>
        <v>204 (0.204 secs)</v>
      </c>
      <c r="P149" s="52" t="str">
        <f t="shared" si="28"/>
        <v>204 (0.204 secs)</v>
      </c>
      <c r="Q149" s="52" t="str">
        <f t="shared" si="28"/>
        <v>204 (0.204 secs)</v>
      </c>
      <c r="R149" s="52" t="str">
        <f t="shared" si="28"/>
        <v>204 (0.204 secs)</v>
      </c>
      <c r="S149" s="162" t="str">
        <f t="shared" si="28"/>
        <v>204 (0.204 secs)</v>
      </c>
      <c r="T149" s="162" t="str">
        <f t="shared" si="28"/>
        <v>204 (0.204 secs)</v>
      </c>
      <c r="U149" s="52"/>
      <c r="V149" s="156"/>
      <c r="W149" s="156"/>
      <c r="X149" s="156"/>
      <c r="Y149" s="156"/>
      <c r="Z149" s="71"/>
    </row>
    <row r="150" spans="1:26">
      <c r="A150" s="33" t="s">
        <v>39</v>
      </c>
      <c r="B150" s="34">
        <v>1</v>
      </c>
      <c r="C150" s="34">
        <v>199</v>
      </c>
      <c r="D150" s="34">
        <v>199</v>
      </c>
      <c r="E150" s="34">
        <v>199</v>
      </c>
      <c r="F150" s="34">
        <v>199</v>
      </c>
      <c r="G150" s="34">
        <v>199</v>
      </c>
      <c r="H150" s="34">
        <v>199</v>
      </c>
      <c r="I150" s="34">
        <v>199</v>
      </c>
      <c r="J150" s="35">
        <v>0</v>
      </c>
      <c r="K150" s="36">
        <v>5.0251299999999999</v>
      </c>
      <c r="L150" s="37">
        <v>202.03</v>
      </c>
      <c r="M150" s="34">
        <v>1.91</v>
      </c>
      <c r="N150" s="52" t="str">
        <f t="shared" si="28"/>
        <v>199 (0.199 secs)</v>
      </c>
      <c r="O150" s="52" t="str">
        <f t="shared" si="28"/>
        <v>199 (0.199 secs)</v>
      </c>
      <c r="P150" s="52" t="str">
        <f t="shared" si="28"/>
        <v>199 (0.199 secs)</v>
      </c>
      <c r="Q150" s="52" t="str">
        <f t="shared" si="28"/>
        <v>199 (0.199 secs)</v>
      </c>
      <c r="R150" s="52" t="str">
        <f t="shared" si="28"/>
        <v>199 (0.199 secs)</v>
      </c>
      <c r="S150" s="162" t="str">
        <f t="shared" si="28"/>
        <v>199 (0.199 secs)</v>
      </c>
      <c r="T150" s="162" t="str">
        <f t="shared" si="28"/>
        <v>199 (0.199 secs)</v>
      </c>
      <c r="U150" s="52"/>
      <c r="V150" s="156"/>
      <c r="W150" s="156"/>
      <c r="X150" s="156"/>
      <c r="Y150" s="156"/>
      <c r="Z150" s="71"/>
    </row>
    <row r="151" spans="1:26">
      <c r="A151" s="33" t="s">
        <v>40</v>
      </c>
      <c r="B151" s="34">
        <v>1</v>
      </c>
      <c r="C151" s="34">
        <v>167</v>
      </c>
      <c r="D151" s="34">
        <v>167</v>
      </c>
      <c r="E151" s="34">
        <v>167</v>
      </c>
      <c r="F151" s="34">
        <v>167</v>
      </c>
      <c r="G151" s="34">
        <v>167</v>
      </c>
      <c r="H151" s="34">
        <v>167</v>
      </c>
      <c r="I151" s="34">
        <v>167</v>
      </c>
      <c r="J151" s="35">
        <v>0</v>
      </c>
      <c r="K151" s="36">
        <v>5.9880199999999997</v>
      </c>
      <c r="L151" s="37">
        <v>3.95</v>
      </c>
      <c r="M151" s="34">
        <v>2.19</v>
      </c>
      <c r="N151" s="52" t="str">
        <f t="shared" si="28"/>
        <v>167 (0.167 secs)</v>
      </c>
      <c r="O151" s="52" t="str">
        <f t="shared" si="28"/>
        <v>167 (0.167 secs)</v>
      </c>
      <c r="P151" s="52" t="str">
        <f t="shared" si="28"/>
        <v>167 (0.167 secs)</v>
      </c>
      <c r="Q151" s="52" t="str">
        <f t="shared" si="28"/>
        <v>167 (0.167 secs)</v>
      </c>
      <c r="R151" s="52" t="str">
        <f t="shared" si="28"/>
        <v>167 (0.167 secs)</v>
      </c>
      <c r="S151" s="162" t="str">
        <f t="shared" si="28"/>
        <v>167 (0.167 secs)</v>
      </c>
      <c r="T151" s="162" t="str">
        <f t="shared" si="28"/>
        <v>167 (0.167 secs)</v>
      </c>
      <c r="U151" s="52"/>
      <c r="V151" s="156"/>
      <c r="W151" s="156"/>
      <c r="X151" s="156"/>
      <c r="Y151" s="156"/>
      <c r="Z151" s="71"/>
    </row>
    <row r="152" spans="1:26" ht="15" thickBot="1">
      <c r="A152" s="38" t="s">
        <v>128</v>
      </c>
      <c r="B152" s="39">
        <v>4</v>
      </c>
      <c r="C152" s="39">
        <v>29358</v>
      </c>
      <c r="D152" s="39">
        <v>199</v>
      </c>
      <c r="E152" s="39">
        <v>116865</v>
      </c>
      <c r="F152" s="39">
        <v>116865</v>
      </c>
      <c r="G152" s="39">
        <v>116865</v>
      </c>
      <c r="H152" s="39">
        <v>167</v>
      </c>
      <c r="I152" s="39">
        <v>116865</v>
      </c>
      <c r="J152" s="40">
        <v>0</v>
      </c>
      <c r="K152" s="41">
        <v>3.406E-2</v>
      </c>
      <c r="L152" s="42">
        <v>0.43</v>
      </c>
      <c r="M152" s="39">
        <v>0.01</v>
      </c>
      <c r="N152" s="57" t="str">
        <f>C152&amp;" ("&amp;TEXT(C152/1000,"0.000")&amp;" secs)"</f>
        <v>29358 (29.358 secs)</v>
      </c>
      <c r="O152" s="53" t="str">
        <f t="shared" si="28"/>
        <v>199 (0.199 secs)</v>
      </c>
      <c r="P152" s="53" t="str">
        <f>E152&amp;" ("&amp;TEXT(E152/60000,"0.000")&amp;" mins)"</f>
        <v>116865 (1.948 mins)</v>
      </c>
      <c r="Q152" s="53" t="str">
        <f t="shared" ref="Q152:T152" si="29">F152&amp;" ("&amp;TEXT(F152/60000,"0.000")&amp;" mins)"</f>
        <v>116865 (1.948 mins)</v>
      </c>
      <c r="R152" s="53" t="str">
        <f t="shared" si="29"/>
        <v>116865 (1.948 mins)</v>
      </c>
      <c r="S152" s="163" t="str">
        <f>H152&amp;" ("&amp;TEXT(H152/1000,"0.000")&amp;" secs)"</f>
        <v>167 (0.167 secs)</v>
      </c>
      <c r="T152" s="163" t="str">
        <f t="shared" si="29"/>
        <v>116865 (1.948 mins)</v>
      </c>
      <c r="U152" s="53"/>
      <c r="V152" s="157"/>
      <c r="W152" s="157"/>
      <c r="X152" s="157"/>
      <c r="Y152" s="157"/>
      <c r="Z152" s="72"/>
    </row>
    <row r="154" spans="1:26">
      <c r="A154" s="21" t="s">
        <v>82</v>
      </c>
      <c r="B154" s="22" t="s">
        <v>83</v>
      </c>
      <c r="C154" s="25"/>
      <c r="D154" s="24"/>
      <c r="E154" s="25"/>
      <c r="F154" s="25"/>
      <c r="G154" s="25"/>
      <c r="H154" s="25"/>
      <c r="I154" s="25"/>
      <c r="J154" s="25"/>
      <c r="K154" s="25"/>
      <c r="N154" s="1"/>
      <c r="O154" s="9"/>
      <c r="P154" s="9"/>
      <c r="Q154" s="9"/>
      <c r="R154" s="9"/>
      <c r="S154" s="9"/>
      <c r="T154" s="9"/>
      <c r="U154" s="9"/>
    </row>
    <row r="155" spans="1:26">
      <c r="A155" s="48" t="s">
        <v>13</v>
      </c>
      <c r="B155" s="27" t="s">
        <v>224</v>
      </c>
      <c r="C155" s="24"/>
      <c r="D155" s="24"/>
      <c r="E155" s="25"/>
      <c r="F155" s="25"/>
      <c r="G155" s="25"/>
      <c r="H155" s="25"/>
      <c r="I155" s="25"/>
      <c r="J155" s="25"/>
      <c r="K155" s="25"/>
      <c r="N155" s="1"/>
      <c r="O155" s="9"/>
      <c r="P155" s="167"/>
      <c r="Q155" s="9"/>
      <c r="R155" s="9"/>
      <c r="S155" s="9"/>
      <c r="T155" s="9"/>
      <c r="U155" s="9"/>
    </row>
    <row r="156" spans="1:26">
      <c r="A156" s="49"/>
      <c r="B156" s="5"/>
      <c r="D156" s="9"/>
      <c r="N156" s="1"/>
      <c r="O156" s="9"/>
      <c r="P156" s="9"/>
      <c r="Q156" s="9"/>
      <c r="R156" s="9"/>
      <c r="S156" s="9"/>
      <c r="T156" s="9"/>
      <c r="U156" s="9"/>
    </row>
    <row r="157" spans="1:26">
      <c r="A157" s="30" t="s">
        <v>114</v>
      </c>
      <c r="B157" s="31" t="s">
        <v>115</v>
      </c>
      <c r="C157" s="31" t="s">
        <v>116</v>
      </c>
      <c r="D157" s="31" t="s">
        <v>117</v>
      </c>
      <c r="E157" s="31" t="s">
        <v>118</v>
      </c>
      <c r="F157" s="31" t="s">
        <v>119</v>
      </c>
      <c r="G157" s="31" t="s">
        <v>120</v>
      </c>
      <c r="H157" s="31" t="s">
        <v>121</v>
      </c>
      <c r="I157" s="31" t="s">
        <v>122</v>
      </c>
      <c r="J157" s="31" t="s">
        <v>123</v>
      </c>
      <c r="K157" s="31" t="s">
        <v>143</v>
      </c>
      <c r="L157" s="31" t="s">
        <v>125</v>
      </c>
      <c r="M157" s="31" t="s">
        <v>126</v>
      </c>
      <c r="N157" s="31" t="s">
        <v>116</v>
      </c>
      <c r="O157" s="31" t="s">
        <v>117</v>
      </c>
      <c r="P157" s="31" t="s">
        <v>118</v>
      </c>
      <c r="Q157" s="31" t="s">
        <v>119</v>
      </c>
      <c r="R157" s="31" t="s">
        <v>120</v>
      </c>
      <c r="S157" s="161" t="s">
        <v>121</v>
      </c>
      <c r="T157" s="31" t="s">
        <v>122</v>
      </c>
      <c r="U157" s="31" t="s">
        <v>199</v>
      </c>
      <c r="V157" s="144" t="s">
        <v>200</v>
      </c>
      <c r="W157" s="144" t="s">
        <v>201</v>
      </c>
      <c r="X157" s="144" t="s">
        <v>202</v>
      </c>
      <c r="Y157" s="144" t="s">
        <v>203</v>
      </c>
      <c r="Z157" s="70" t="s">
        <v>127</v>
      </c>
    </row>
    <row r="158" spans="1:26">
      <c r="A158" s="33" t="s">
        <v>33</v>
      </c>
      <c r="B158" s="34">
        <v>1</v>
      </c>
      <c r="C158" s="34">
        <v>297539</v>
      </c>
      <c r="D158" s="34">
        <v>297539</v>
      </c>
      <c r="E158" s="34">
        <v>297539</v>
      </c>
      <c r="F158" s="34">
        <v>297539</v>
      </c>
      <c r="G158" s="34">
        <v>297539</v>
      </c>
      <c r="H158" s="34">
        <v>297539</v>
      </c>
      <c r="I158" s="34">
        <v>297539</v>
      </c>
      <c r="J158" s="35">
        <v>0</v>
      </c>
      <c r="K158" s="36">
        <v>3.3600000000000001E-3</v>
      </c>
      <c r="L158" s="37">
        <v>0</v>
      </c>
      <c r="M158" s="34">
        <v>0</v>
      </c>
      <c r="N158" s="50" t="str">
        <f>C158&amp;" ("&amp;TEXT(C158/60000,"0.000")&amp;" mins)"</f>
        <v>297539 (4.959 mins)</v>
      </c>
      <c r="O158" s="52" t="str">
        <f t="shared" ref="O158:T158" si="30">D158&amp;" ("&amp;TEXT(D158/60000,"0.000")&amp;" mins)"</f>
        <v>297539 (4.959 mins)</v>
      </c>
      <c r="P158" s="52" t="str">
        <f t="shared" si="30"/>
        <v>297539 (4.959 mins)</v>
      </c>
      <c r="Q158" s="52" t="str">
        <f t="shared" si="30"/>
        <v>297539 (4.959 mins)</v>
      </c>
      <c r="R158" s="52" t="str">
        <f t="shared" si="30"/>
        <v>297539 (4.959 mins)</v>
      </c>
      <c r="S158" s="162" t="str">
        <f t="shared" si="30"/>
        <v>297539 (4.959 mins)</v>
      </c>
      <c r="T158" s="52" t="str">
        <f t="shared" si="30"/>
        <v>297539 (4.959 mins)</v>
      </c>
      <c r="U158" s="35">
        <v>0.2379</v>
      </c>
      <c r="V158" s="155" t="s">
        <v>225</v>
      </c>
      <c r="W158" s="156" t="s">
        <v>226</v>
      </c>
      <c r="X158" s="155" t="s">
        <v>227</v>
      </c>
      <c r="Y158" s="155">
        <v>0</v>
      </c>
      <c r="Z158" s="80" t="s">
        <v>145</v>
      </c>
    </row>
    <row r="159" spans="1:26">
      <c r="A159" s="33" t="s">
        <v>38</v>
      </c>
      <c r="B159" s="34">
        <v>1</v>
      </c>
      <c r="C159" s="34">
        <v>204</v>
      </c>
      <c r="D159" s="34">
        <v>204</v>
      </c>
      <c r="E159" s="34">
        <v>204</v>
      </c>
      <c r="F159" s="34">
        <v>204</v>
      </c>
      <c r="G159" s="34">
        <v>204</v>
      </c>
      <c r="H159" s="34">
        <v>204</v>
      </c>
      <c r="I159" s="34">
        <v>204</v>
      </c>
      <c r="J159" s="35">
        <v>0</v>
      </c>
      <c r="K159" s="36">
        <v>4.9019599999999999</v>
      </c>
      <c r="L159" s="37">
        <v>49.2</v>
      </c>
      <c r="M159" s="34">
        <v>1.66</v>
      </c>
      <c r="N159" s="52" t="str">
        <f t="shared" ref="N159:T161" si="31">C159&amp;" ("&amp;TEXT(C159/1000,"0.000")&amp;" secs)"</f>
        <v>204 (0.204 secs)</v>
      </c>
      <c r="O159" s="52" t="str">
        <f t="shared" si="31"/>
        <v>204 (0.204 secs)</v>
      </c>
      <c r="P159" s="52" t="str">
        <f t="shared" si="31"/>
        <v>204 (0.204 secs)</v>
      </c>
      <c r="Q159" s="52" t="str">
        <f t="shared" si="31"/>
        <v>204 (0.204 secs)</v>
      </c>
      <c r="R159" s="52" t="str">
        <f t="shared" si="31"/>
        <v>204 (0.204 secs)</v>
      </c>
      <c r="S159" s="162" t="str">
        <f t="shared" si="31"/>
        <v>204 (0.204 secs)</v>
      </c>
      <c r="T159" s="162" t="str">
        <f t="shared" si="31"/>
        <v>204 (0.204 secs)</v>
      </c>
      <c r="U159" s="52"/>
      <c r="V159" s="156"/>
      <c r="W159" s="156"/>
      <c r="X159" s="156"/>
      <c r="Y159" s="156"/>
      <c r="Z159" s="71"/>
    </row>
    <row r="160" spans="1:26">
      <c r="A160" s="33" t="s">
        <v>39</v>
      </c>
      <c r="B160" s="34">
        <v>1</v>
      </c>
      <c r="C160" s="34">
        <v>294</v>
      </c>
      <c r="D160" s="34">
        <v>294</v>
      </c>
      <c r="E160" s="34">
        <v>294</v>
      </c>
      <c r="F160" s="34">
        <v>294</v>
      </c>
      <c r="G160" s="34">
        <v>294</v>
      </c>
      <c r="H160" s="34">
        <v>294</v>
      </c>
      <c r="I160" s="34">
        <v>294</v>
      </c>
      <c r="J160" s="35">
        <v>0</v>
      </c>
      <c r="K160" s="36">
        <v>3.4013599999999999</v>
      </c>
      <c r="L160" s="37">
        <v>419.28</v>
      </c>
      <c r="M160" s="34">
        <v>1.29</v>
      </c>
      <c r="N160" s="52" t="str">
        <f t="shared" si="31"/>
        <v>294 (0.294 secs)</v>
      </c>
      <c r="O160" s="52" t="str">
        <f t="shared" si="31"/>
        <v>294 (0.294 secs)</v>
      </c>
      <c r="P160" s="52" t="str">
        <f t="shared" si="31"/>
        <v>294 (0.294 secs)</v>
      </c>
      <c r="Q160" s="52" t="str">
        <f t="shared" si="31"/>
        <v>294 (0.294 secs)</v>
      </c>
      <c r="R160" s="52" t="str">
        <f t="shared" si="31"/>
        <v>294 (0.294 secs)</v>
      </c>
      <c r="S160" s="162" t="str">
        <f t="shared" si="31"/>
        <v>294 (0.294 secs)</v>
      </c>
      <c r="T160" s="162" t="str">
        <f t="shared" si="31"/>
        <v>294 (0.294 secs)</v>
      </c>
      <c r="U160" s="52"/>
      <c r="V160" s="156"/>
      <c r="W160" s="156"/>
      <c r="X160" s="156"/>
      <c r="Y160" s="156"/>
      <c r="Z160" s="71"/>
    </row>
    <row r="161" spans="1:26">
      <c r="A161" s="33" t="s">
        <v>40</v>
      </c>
      <c r="B161" s="34">
        <v>1</v>
      </c>
      <c r="C161" s="34">
        <v>154</v>
      </c>
      <c r="D161" s="34">
        <v>154</v>
      </c>
      <c r="E161" s="34">
        <v>154</v>
      </c>
      <c r="F161" s="34">
        <v>154</v>
      </c>
      <c r="G161" s="34">
        <v>154</v>
      </c>
      <c r="H161" s="34">
        <v>154</v>
      </c>
      <c r="I161" s="34">
        <v>154</v>
      </c>
      <c r="J161" s="35">
        <v>0</v>
      </c>
      <c r="K161" s="36">
        <v>6.4935099999999997</v>
      </c>
      <c r="L161" s="37">
        <v>4.29</v>
      </c>
      <c r="M161" s="34">
        <v>2.38</v>
      </c>
      <c r="N161" s="52" t="str">
        <f t="shared" si="31"/>
        <v>154 (0.154 secs)</v>
      </c>
      <c r="O161" s="52" t="str">
        <f t="shared" si="31"/>
        <v>154 (0.154 secs)</v>
      </c>
      <c r="P161" s="52" t="str">
        <f t="shared" si="31"/>
        <v>154 (0.154 secs)</v>
      </c>
      <c r="Q161" s="52" t="str">
        <f t="shared" si="31"/>
        <v>154 (0.154 secs)</v>
      </c>
      <c r="R161" s="52" t="str">
        <f t="shared" si="31"/>
        <v>154 (0.154 secs)</v>
      </c>
      <c r="S161" s="162" t="str">
        <f t="shared" si="31"/>
        <v>154 (0.154 secs)</v>
      </c>
      <c r="T161" s="162" t="str">
        <f t="shared" si="31"/>
        <v>154 (0.154 secs)</v>
      </c>
      <c r="U161" s="52"/>
      <c r="V161" s="156"/>
      <c r="W161" s="156"/>
      <c r="X161" s="156"/>
      <c r="Y161" s="156"/>
      <c r="Z161" s="71"/>
    </row>
    <row r="162" spans="1:26" ht="15" thickBot="1">
      <c r="A162" s="38" t="s">
        <v>128</v>
      </c>
      <c r="B162" s="39">
        <v>4</v>
      </c>
      <c r="C162" s="39">
        <v>74547</v>
      </c>
      <c r="D162" s="39">
        <v>204</v>
      </c>
      <c r="E162" s="39">
        <v>297539</v>
      </c>
      <c r="F162" s="39">
        <v>297539</v>
      </c>
      <c r="G162" s="39">
        <v>297539</v>
      </c>
      <c r="H162" s="39">
        <v>154</v>
      </c>
      <c r="I162" s="39">
        <v>297539</v>
      </c>
      <c r="J162" s="40">
        <v>0</v>
      </c>
      <c r="K162" s="41">
        <v>1.341E-2</v>
      </c>
      <c r="L162" s="42">
        <v>0.45</v>
      </c>
      <c r="M162" s="39">
        <v>0.01</v>
      </c>
      <c r="N162" s="57" t="str">
        <f>C162&amp;" ("&amp;TEXT(C162/60000,"0.000")&amp;" mins)"</f>
        <v>74547 (1.242 mins)</v>
      </c>
      <c r="O162" s="53" t="str">
        <f t="shared" ref="O162:T162" si="32">D162&amp;" ("&amp;TEXT(D162/60000,"0.000")&amp;" mins)"</f>
        <v>204 (0.003 mins)</v>
      </c>
      <c r="P162" s="53" t="str">
        <f t="shared" si="32"/>
        <v>297539 (4.959 mins)</v>
      </c>
      <c r="Q162" s="53" t="str">
        <f t="shared" si="32"/>
        <v>297539 (4.959 mins)</v>
      </c>
      <c r="R162" s="53" t="str">
        <f t="shared" si="32"/>
        <v>297539 (4.959 mins)</v>
      </c>
      <c r="S162" s="163" t="str">
        <f>H162&amp;" ("&amp;TEXT(H162/1000,"0.000")&amp;" secs)"</f>
        <v>154 (0.154 secs)</v>
      </c>
      <c r="T162" s="163" t="str">
        <f t="shared" si="32"/>
        <v>297539 (4.959 mins)</v>
      </c>
      <c r="U162" s="53"/>
      <c r="V162" s="157"/>
      <c r="W162" s="157"/>
      <c r="X162" s="157"/>
      <c r="Y162" s="157"/>
      <c r="Z162" s="72"/>
    </row>
    <row r="164" spans="1:26">
      <c r="A164" s="21" t="s">
        <v>85</v>
      </c>
      <c r="B164" s="22" t="s">
        <v>86</v>
      </c>
      <c r="C164" s="25"/>
      <c r="D164" s="24"/>
      <c r="E164" s="25"/>
      <c r="F164" s="25"/>
      <c r="G164" s="25"/>
      <c r="H164" s="25"/>
      <c r="I164" s="25"/>
      <c r="J164" s="25"/>
      <c r="K164" s="25"/>
      <c r="N164" s="1"/>
      <c r="O164" s="9"/>
      <c r="P164" s="9"/>
      <c r="Q164" s="9"/>
      <c r="R164" s="9"/>
      <c r="S164" s="9"/>
      <c r="T164" s="9"/>
      <c r="U164" s="9"/>
      <c r="V164" s="9"/>
    </row>
    <row r="165" spans="1:26">
      <c r="A165" s="48" t="s">
        <v>13</v>
      </c>
      <c r="B165" s="27" t="s">
        <v>228</v>
      </c>
      <c r="C165" s="24"/>
      <c r="D165" s="24"/>
      <c r="E165" s="25"/>
      <c r="F165" s="25"/>
      <c r="G165" s="25"/>
      <c r="H165" s="25"/>
      <c r="I165" s="25"/>
      <c r="J165" s="25"/>
      <c r="K165" s="25"/>
      <c r="N165" s="1"/>
      <c r="O165" s="9"/>
      <c r="P165" s="9"/>
      <c r="Q165" s="9"/>
      <c r="R165" s="9"/>
      <c r="S165" s="9"/>
      <c r="T165" s="9"/>
      <c r="U165" s="9"/>
      <c r="V165" s="9"/>
    </row>
    <row r="166" spans="1:26">
      <c r="A166" s="49"/>
      <c r="B166" s="5"/>
      <c r="D166" s="9"/>
      <c r="N166" s="1"/>
      <c r="O166" s="9"/>
      <c r="P166" s="9"/>
      <c r="Q166" s="9"/>
      <c r="R166" s="9"/>
      <c r="S166" s="9"/>
      <c r="T166" s="9"/>
      <c r="U166" s="9"/>
      <c r="V166" s="9"/>
    </row>
    <row r="167" spans="1:26">
      <c r="A167" s="30" t="s">
        <v>114</v>
      </c>
      <c r="B167" s="31" t="s">
        <v>115</v>
      </c>
      <c r="C167" s="31" t="s">
        <v>116</v>
      </c>
      <c r="D167" s="31" t="s">
        <v>117</v>
      </c>
      <c r="E167" s="31" t="s">
        <v>118</v>
      </c>
      <c r="F167" s="31" t="s">
        <v>119</v>
      </c>
      <c r="G167" s="31" t="s">
        <v>120</v>
      </c>
      <c r="H167" s="31" t="s">
        <v>121</v>
      </c>
      <c r="I167" s="31" t="s">
        <v>122</v>
      </c>
      <c r="J167" s="31" t="s">
        <v>123</v>
      </c>
      <c r="K167" s="31" t="s">
        <v>143</v>
      </c>
      <c r="L167" s="31" t="s">
        <v>125</v>
      </c>
      <c r="M167" s="31" t="s">
        <v>126</v>
      </c>
      <c r="N167" s="31" t="s">
        <v>116</v>
      </c>
      <c r="O167" s="31" t="s">
        <v>117</v>
      </c>
      <c r="P167" s="31" t="s">
        <v>118</v>
      </c>
      <c r="Q167" s="31" t="s">
        <v>119</v>
      </c>
      <c r="R167" s="31" t="s">
        <v>120</v>
      </c>
      <c r="S167" s="161" t="s">
        <v>121</v>
      </c>
      <c r="T167" s="31" t="s">
        <v>122</v>
      </c>
      <c r="U167" s="31" t="s">
        <v>199</v>
      </c>
      <c r="V167" s="144" t="s">
        <v>200</v>
      </c>
      <c r="W167" s="144" t="s">
        <v>201</v>
      </c>
      <c r="X167" s="144" t="s">
        <v>202</v>
      </c>
      <c r="Y167" s="144" t="s">
        <v>203</v>
      </c>
      <c r="Z167" s="70" t="s">
        <v>127</v>
      </c>
    </row>
    <row r="168" spans="1:26">
      <c r="A168" s="33" t="s">
        <v>33</v>
      </c>
      <c r="B168" s="34">
        <v>1</v>
      </c>
      <c r="C168" s="34">
        <v>31994</v>
      </c>
      <c r="D168" s="34">
        <v>31994</v>
      </c>
      <c r="E168" s="34">
        <v>31994</v>
      </c>
      <c r="F168" s="34">
        <v>31994</v>
      </c>
      <c r="G168" s="34">
        <v>31994</v>
      </c>
      <c r="H168" s="34">
        <v>31994</v>
      </c>
      <c r="I168" s="34">
        <v>31994</v>
      </c>
      <c r="J168" s="35">
        <v>0</v>
      </c>
      <c r="K168" s="36">
        <v>3.1260000000000003E-2</v>
      </c>
      <c r="L168" s="37">
        <v>0.01</v>
      </c>
      <c r="M168" s="34">
        <v>0.01</v>
      </c>
      <c r="N168" s="50" t="str">
        <f>C168&amp;" ("&amp;TEXT(C168/1000,"0.000")&amp;" secs)"</f>
        <v>31994 (31.994 secs)</v>
      </c>
      <c r="O168" s="52" t="str">
        <f t="shared" ref="O168:T168" si="33">D168&amp;" ("&amp;TEXT(D168/1000,"0.000")&amp;" secs)"</f>
        <v>31994 (31.994 secs)</v>
      </c>
      <c r="P168" s="52" t="str">
        <f t="shared" si="33"/>
        <v>31994 (31.994 secs)</v>
      </c>
      <c r="Q168" s="52" t="str">
        <f t="shared" si="33"/>
        <v>31994 (31.994 secs)</v>
      </c>
      <c r="R168" s="52" t="str">
        <f t="shared" si="33"/>
        <v>31994 (31.994 secs)</v>
      </c>
      <c r="S168" s="162" t="str">
        <f t="shared" si="33"/>
        <v>31994 (31.994 secs)</v>
      </c>
      <c r="T168" s="162" t="str">
        <f t="shared" si="33"/>
        <v>31994 (31.994 secs)</v>
      </c>
      <c r="U168" s="35">
        <v>0.19359999999999999</v>
      </c>
      <c r="V168" s="155" t="s">
        <v>229</v>
      </c>
      <c r="W168" s="156" t="s">
        <v>230</v>
      </c>
      <c r="X168" s="155" t="s">
        <v>231</v>
      </c>
      <c r="Y168" s="155">
        <v>0</v>
      </c>
      <c r="Z168" s="80" t="s">
        <v>157</v>
      </c>
    </row>
    <row r="169" spans="1:26">
      <c r="A169" s="33" t="s">
        <v>38</v>
      </c>
      <c r="B169" s="34">
        <v>1</v>
      </c>
      <c r="C169" s="34">
        <v>198</v>
      </c>
      <c r="D169" s="34">
        <v>198</v>
      </c>
      <c r="E169" s="34">
        <v>198</v>
      </c>
      <c r="F169" s="34">
        <v>198</v>
      </c>
      <c r="G169" s="34">
        <v>198</v>
      </c>
      <c r="H169" s="34">
        <v>198</v>
      </c>
      <c r="I169" s="34">
        <v>198</v>
      </c>
      <c r="J169" s="35">
        <v>0</v>
      </c>
      <c r="K169" s="36">
        <v>5.0505100000000001</v>
      </c>
      <c r="L169" s="37">
        <v>52.72</v>
      </c>
      <c r="M169" s="34">
        <v>1.71</v>
      </c>
      <c r="N169" s="52" t="str">
        <f t="shared" ref="N169:T172" si="34">C169&amp;" ("&amp;TEXT(C169/1000,"0.000")&amp;" secs)"</f>
        <v>198 (0.198 secs)</v>
      </c>
      <c r="O169" s="52" t="str">
        <f t="shared" si="34"/>
        <v>198 (0.198 secs)</v>
      </c>
      <c r="P169" s="52" t="str">
        <f t="shared" si="34"/>
        <v>198 (0.198 secs)</v>
      </c>
      <c r="Q169" s="52" t="str">
        <f t="shared" si="34"/>
        <v>198 (0.198 secs)</v>
      </c>
      <c r="R169" s="52" t="str">
        <f t="shared" si="34"/>
        <v>198 (0.198 secs)</v>
      </c>
      <c r="S169" s="162" t="str">
        <f t="shared" si="34"/>
        <v>198 (0.198 secs)</v>
      </c>
      <c r="T169" s="162" t="str">
        <f t="shared" si="34"/>
        <v>198 (0.198 secs)</v>
      </c>
      <c r="U169" s="52"/>
      <c r="V169" s="156"/>
      <c r="W169" s="156"/>
      <c r="X169" s="156"/>
      <c r="Y169" s="156"/>
      <c r="Z169" s="71"/>
    </row>
    <row r="170" spans="1:26">
      <c r="A170" s="33" t="s">
        <v>39</v>
      </c>
      <c r="B170" s="34">
        <v>1</v>
      </c>
      <c r="C170" s="34">
        <v>163</v>
      </c>
      <c r="D170" s="34">
        <v>163</v>
      </c>
      <c r="E170" s="34">
        <v>163</v>
      </c>
      <c r="F170" s="34">
        <v>163</v>
      </c>
      <c r="G170" s="34">
        <v>163</v>
      </c>
      <c r="H170" s="34">
        <v>163</v>
      </c>
      <c r="I170" s="34">
        <v>163</v>
      </c>
      <c r="J170" s="35">
        <v>0</v>
      </c>
      <c r="K170" s="36">
        <v>6.13497</v>
      </c>
      <c r="L170" s="37">
        <v>75.12</v>
      </c>
      <c r="M170" s="34">
        <v>2.33</v>
      </c>
      <c r="N170" s="52" t="str">
        <f t="shared" si="34"/>
        <v>163 (0.163 secs)</v>
      </c>
      <c r="O170" s="52" t="str">
        <f t="shared" si="34"/>
        <v>163 (0.163 secs)</v>
      </c>
      <c r="P170" s="52" t="str">
        <f t="shared" si="34"/>
        <v>163 (0.163 secs)</v>
      </c>
      <c r="Q170" s="52" t="str">
        <f t="shared" si="34"/>
        <v>163 (0.163 secs)</v>
      </c>
      <c r="R170" s="52" t="str">
        <f t="shared" si="34"/>
        <v>163 (0.163 secs)</v>
      </c>
      <c r="S170" s="162" t="str">
        <f t="shared" si="34"/>
        <v>163 (0.163 secs)</v>
      </c>
      <c r="T170" s="162" t="str">
        <f t="shared" si="34"/>
        <v>163 (0.163 secs)</v>
      </c>
      <c r="U170" s="52"/>
      <c r="V170" s="156"/>
      <c r="W170" s="156"/>
      <c r="X170" s="156"/>
      <c r="Y170" s="156"/>
      <c r="Z170" s="71"/>
    </row>
    <row r="171" spans="1:26">
      <c r="A171" s="33" t="s">
        <v>40</v>
      </c>
      <c r="B171" s="34">
        <v>1</v>
      </c>
      <c r="C171" s="34">
        <v>158</v>
      </c>
      <c r="D171" s="34">
        <v>158</v>
      </c>
      <c r="E171" s="34">
        <v>158</v>
      </c>
      <c r="F171" s="34">
        <v>158</v>
      </c>
      <c r="G171" s="34">
        <v>158</v>
      </c>
      <c r="H171" s="34">
        <v>158</v>
      </c>
      <c r="I171" s="34">
        <v>158</v>
      </c>
      <c r="J171" s="35">
        <v>0</v>
      </c>
      <c r="K171" s="36">
        <v>6.32911</v>
      </c>
      <c r="L171" s="37">
        <v>4.18</v>
      </c>
      <c r="M171" s="34">
        <v>2.31</v>
      </c>
      <c r="N171" s="52" t="str">
        <f t="shared" si="34"/>
        <v>158 (0.158 secs)</v>
      </c>
      <c r="O171" s="52" t="str">
        <f t="shared" si="34"/>
        <v>158 (0.158 secs)</v>
      </c>
      <c r="P171" s="52" t="str">
        <f t="shared" si="34"/>
        <v>158 (0.158 secs)</v>
      </c>
      <c r="Q171" s="52" t="str">
        <f t="shared" si="34"/>
        <v>158 (0.158 secs)</v>
      </c>
      <c r="R171" s="52" t="str">
        <f t="shared" si="34"/>
        <v>158 (0.158 secs)</v>
      </c>
      <c r="S171" s="162" t="str">
        <f t="shared" si="34"/>
        <v>158 (0.158 secs)</v>
      </c>
      <c r="T171" s="162" t="str">
        <f t="shared" si="34"/>
        <v>158 (0.158 secs)</v>
      </c>
      <c r="U171" s="52"/>
      <c r="V171" s="156"/>
      <c r="W171" s="156"/>
      <c r="X171" s="156"/>
      <c r="Y171" s="156"/>
      <c r="Z171" s="71"/>
    </row>
    <row r="172" spans="1:26" ht="15" thickBot="1">
      <c r="A172" s="38" t="s">
        <v>128</v>
      </c>
      <c r="B172" s="39">
        <v>4</v>
      </c>
      <c r="C172" s="39">
        <v>8128</v>
      </c>
      <c r="D172" s="39">
        <v>163</v>
      </c>
      <c r="E172" s="39">
        <v>31994</v>
      </c>
      <c r="F172" s="39">
        <v>31994</v>
      </c>
      <c r="G172" s="39">
        <v>31994</v>
      </c>
      <c r="H172" s="39">
        <v>158</v>
      </c>
      <c r="I172" s="39">
        <v>31994</v>
      </c>
      <c r="J172" s="40">
        <v>0</v>
      </c>
      <c r="K172" s="41">
        <v>0.12291000000000001</v>
      </c>
      <c r="L172" s="42">
        <v>0.72</v>
      </c>
      <c r="M172" s="39">
        <v>0.05</v>
      </c>
      <c r="N172" s="57" t="str">
        <f t="shared" si="34"/>
        <v>8128 (8.128 secs)</v>
      </c>
      <c r="O172" s="53" t="str">
        <f t="shared" si="34"/>
        <v>163 (0.163 secs)</v>
      </c>
      <c r="P172" s="53" t="str">
        <f t="shared" si="34"/>
        <v>31994 (31.994 secs)</v>
      </c>
      <c r="Q172" s="53" t="str">
        <f t="shared" si="34"/>
        <v>31994 (31.994 secs)</v>
      </c>
      <c r="R172" s="53" t="str">
        <f t="shared" si="34"/>
        <v>31994 (31.994 secs)</v>
      </c>
      <c r="S172" s="163" t="str">
        <f t="shared" si="34"/>
        <v>158 (0.158 secs)</v>
      </c>
      <c r="T172" s="163" t="str">
        <f t="shared" si="34"/>
        <v>31994 (31.994 secs)</v>
      </c>
      <c r="U172" s="53"/>
      <c r="V172" s="157"/>
      <c r="W172" s="157"/>
      <c r="X172" s="157"/>
      <c r="Y172" s="157"/>
      <c r="Z172" s="72"/>
    </row>
    <row r="174" spans="1:26">
      <c r="A174" s="21" t="s">
        <v>88</v>
      </c>
      <c r="B174" s="22" t="s">
        <v>89</v>
      </c>
      <c r="C174" s="25"/>
      <c r="D174" s="24"/>
      <c r="E174" s="25"/>
      <c r="F174" s="25"/>
      <c r="G174" s="25"/>
      <c r="H174" s="25"/>
      <c r="I174" s="25"/>
      <c r="J174" s="25"/>
      <c r="K174" s="25"/>
      <c r="N174" s="1"/>
      <c r="O174" s="9"/>
      <c r="P174" s="9"/>
      <c r="Q174" s="9"/>
      <c r="R174" s="9"/>
      <c r="S174" s="9"/>
      <c r="T174" s="9"/>
    </row>
    <row r="175" spans="1:26">
      <c r="A175" s="48" t="s">
        <v>13</v>
      </c>
      <c r="B175" s="27" t="s">
        <v>232</v>
      </c>
      <c r="C175" s="24"/>
      <c r="D175" s="24"/>
      <c r="E175" s="25"/>
      <c r="F175" s="25"/>
      <c r="G175" s="25"/>
      <c r="H175" s="25"/>
      <c r="I175" s="25"/>
      <c r="J175" s="25"/>
      <c r="K175" s="25"/>
      <c r="N175" s="1"/>
      <c r="O175" s="9"/>
      <c r="P175" s="9"/>
      <c r="Q175" s="9"/>
      <c r="R175" s="9"/>
      <c r="S175" s="9"/>
      <c r="T175" s="9"/>
    </row>
    <row r="176" spans="1:26">
      <c r="A176" s="49"/>
      <c r="B176" s="5"/>
      <c r="D176" s="9"/>
      <c r="N176" s="1"/>
      <c r="O176" s="9"/>
      <c r="P176" s="9"/>
      <c r="Q176" s="9"/>
      <c r="R176" s="9"/>
      <c r="S176" s="9"/>
      <c r="T176" s="9"/>
    </row>
    <row r="177" spans="1:26">
      <c r="A177" s="30" t="s">
        <v>114</v>
      </c>
      <c r="B177" s="31" t="s">
        <v>115</v>
      </c>
      <c r="C177" s="31" t="s">
        <v>116</v>
      </c>
      <c r="D177" s="31" t="s">
        <v>117</v>
      </c>
      <c r="E177" s="31" t="s">
        <v>118</v>
      </c>
      <c r="F177" s="31" t="s">
        <v>119</v>
      </c>
      <c r="G177" s="31" t="s">
        <v>120</v>
      </c>
      <c r="H177" s="31" t="s">
        <v>121</v>
      </c>
      <c r="I177" s="31" t="s">
        <v>122</v>
      </c>
      <c r="J177" s="31" t="s">
        <v>123</v>
      </c>
      <c r="K177" s="31" t="s">
        <v>143</v>
      </c>
      <c r="L177" s="31" t="s">
        <v>125</v>
      </c>
      <c r="M177" s="31" t="s">
        <v>126</v>
      </c>
      <c r="N177" s="31" t="s">
        <v>116</v>
      </c>
      <c r="O177" s="31" t="s">
        <v>117</v>
      </c>
      <c r="P177" s="31" t="s">
        <v>118</v>
      </c>
      <c r="Q177" s="31" t="s">
        <v>119</v>
      </c>
      <c r="R177" s="31" t="s">
        <v>120</v>
      </c>
      <c r="S177" s="161" t="s">
        <v>121</v>
      </c>
      <c r="T177" s="31" t="s">
        <v>122</v>
      </c>
      <c r="U177" s="31" t="s">
        <v>199</v>
      </c>
      <c r="V177" s="144" t="s">
        <v>200</v>
      </c>
      <c r="W177" s="144" t="s">
        <v>201</v>
      </c>
      <c r="X177" s="144" t="s">
        <v>202</v>
      </c>
      <c r="Y177" s="144" t="s">
        <v>203</v>
      </c>
      <c r="Z177" s="70" t="s">
        <v>127</v>
      </c>
    </row>
    <row r="178" spans="1:26">
      <c r="A178" s="33" t="s">
        <v>33</v>
      </c>
      <c r="B178" s="34">
        <v>1</v>
      </c>
      <c r="C178" s="34">
        <v>53503</v>
      </c>
      <c r="D178" s="34">
        <v>53503</v>
      </c>
      <c r="E178" s="34">
        <v>53503</v>
      </c>
      <c r="F178" s="34">
        <v>53503</v>
      </c>
      <c r="G178" s="34">
        <v>53503</v>
      </c>
      <c r="H178" s="34">
        <v>53503</v>
      </c>
      <c r="I178" s="34">
        <v>53503</v>
      </c>
      <c r="J178" s="35">
        <v>0</v>
      </c>
      <c r="K178" s="36">
        <v>1.8689999999999998E-2</v>
      </c>
      <c r="L178" s="37">
        <v>0</v>
      </c>
      <c r="M178" s="34">
        <v>0.01</v>
      </c>
      <c r="N178" s="50" t="str">
        <f>C178&amp;" ("&amp;TEXT(C178/1000,"0.000")&amp;" secs)"</f>
        <v>53503 (53.503 secs)</v>
      </c>
      <c r="O178" s="52" t="str">
        <f t="shared" ref="O178:T178" si="35">D178&amp;" ("&amp;TEXT(D178/1000,"0.000")&amp;" secs)"</f>
        <v>53503 (53.503 secs)</v>
      </c>
      <c r="P178" s="52" t="str">
        <f t="shared" si="35"/>
        <v>53503 (53.503 secs)</v>
      </c>
      <c r="Q178" s="52" t="str">
        <f t="shared" si="35"/>
        <v>53503 (53.503 secs)</v>
      </c>
      <c r="R178" s="52" t="str">
        <f t="shared" si="35"/>
        <v>53503 (53.503 secs)</v>
      </c>
      <c r="S178" s="52" t="str">
        <f t="shared" si="35"/>
        <v>53503 (53.503 secs)</v>
      </c>
      <c r="T178" s="52" t="str">
        <f t="shared" si="35"/>
        <v>53503 (53.503 secs)</v>
      </c>
      <c r="U178" s="35">
        <v>0.42609999999999998</v>
      </c>
      <c r="V178" s="155" t="s">
        <v>233</v>
      </c>
      <c r="W178" s="156" t="s">
        <v>234</v>
      </c>
      <c r="X178" s="155" t="s">
        <v>235</v>
      </c>
      <c r="Y178" s="155">
        <v>0</v>
      </c>
      <c r="Z178" s="80" t="s">
        <v>157</v>
      </c>
    </row>
    <row r="179" spans="1:26">
      <c r="A179" s="33" t="s">
        <v>38</v>
      </c>
      <c r="B179" s="34">
        <v>1</v>
      </c>
      <c r="C179" s="34">
        <v>210</v>
      </c>
      <c r="D179" s="34">
        <v>210</v>
      </c>
      <c r="E179" s="34">
        <v>210</v>
      </c>
      <c r="F179" s="34">
        <v>210</v>
      </c>
      <c r="G179" s="34">
        <v>210</v>
      </c>
      <c r="H179" s="34">
        <v>210</v>
      </c>
      <c r="I179" s="34">
        <v>210</v>
      </c>
      <c r="J179" s="35">
        <v>0</v>
      </c>
      <c r="K179" s="36">
        <v>4.7618999999999998</v>
      </c>
      <c r="L179" s="37">
        <v>51.6</v>
      </c>
      <c r="M179" s="34">
        <v>1.61</v>
      </c>
      <c r="N179" s="52" t="str">
        <f t="shared" ref="N179:T182" si="36">C179&amp;" ("&amp;TEXT(C179/1000,"0.000")&amp;" secs)"</f>
        <v>210 (0.210 secs)</v>
      </c>
      <c r="O179" s="52" t="str">
        <f t="shared" si="36"/>
        <v>210 (0.210 secs)</v>
      </c>
      <c r="P179" s="52" t="str">
        <f t="shared" si="36"/>
        <v>210 (0.210 secs)</v>
      </c>
      <c r="Q179" s="52" t="str">
        <f t="shared" si="36"/>
        <v>210 (0.210 secs)</v>
      </c>
      <c r="R179" s="52" t="str">
        <f t="shared" si="36"/>
        <v>210 (0.210 secs)</v>
      </c>
      <c r="S179" s="162" t="str">
        <f t="shared" si="36"/>
        <v>210 (0.210 secs)</v>
      </c>
      <c r="T179" s="162" t="str">
        <f t="shared" si="36"/>
        <v>210 (0.210 secs)</v>
      </c>
      <c r="U179" s="52"/>
      <c r="V179" s="156"/>
      <c r="W179" s="156"/>
      <c r="X179" s="156"/>
      <c r="Y179" s="156"/>
      <c r="Z179" s="71"/>
    </row>
    <row r="180" spans="1:26">
      <c r="A180" s="33" t="s">
        <v>39</v>
      </c>
      <c r="B180" s="34">
        <v>1</v>
      </c>
      <c r="C180" s="34">
        <v>159</v>
      </c>
      <c r="D180" s="34">
        <v>159</v>
      </c>
      <c r="E180" s="34">
        <v>159</v>
      </c>
      <c r="F180" s="34">
        <v>159</v>
      </c>
      <c r="G180" s="34">
        <v>159</v>
      </c>
      <c r="H180" s="34">
        <v>159</v>
      </c>
      <c r="I180" s="34">
        <v>159</v>
      </c>
      <c r="J180" s="35">
        <v>0</v>
      </c>
      <c r="K180" s="36">
        <v>6.2893100000000004</v>
      </c>
      <c r="L180" s="37">
        <v>124.31</v>
      </c>
      <c r="M180" s="34">
        <v>2.39</v>
      </c>
      <c r="N180" s="52" t="str">
        <f t="shared" si="36"/>
        <v>159 (0.159 secs)</v>
      </c>
      <c r="O180" s="52" t="str">
        <f t="shared" si="36"/>
        <v>159 (0.159 secs)</v>
      </c>
      <c r="P180" s="52" t="str">
        <f t="shared" si="36"/>
        <v>159 (0.159 secs)</v>
      </c>
      <c r="Q180" s="52" t="str">
        <f t="shared" si="36"/>
        <v>159 (0.159 secs)</v>
      </c>
      <c r="R180" s="52" t="str">
        <f t="shared" si="36"/>
        <v>159 (0.159 secs)</v>
      </c>
      <c r="S180" s="162" t="str">
        <f t="shared" si="36"/>
        <v>159 (0.159 secs)</v>
      </c>
      <c r="T180" s="162" t="str">
        <f t="shared" si="36"/>
        <v>159 (0.159 secs)</v>
      </c>
      <c r="U180" s="52"/>
      <c r="V180" s="156"/>
      <c r="W180" s="156"/>
      <c r="X180" s="156"/>
      <c r="Y180" s="156"/>
      <c r="Z180" s="71"/>
    </row>
    <row r="181" spans="1:26">
      <c r="A181" s="33" t="s">
        <v>40</v>
      </c>
      <c r="B181" s="34">
        <v>1</v>
      </c>
      <c r="C181" s="34">
        <v>150</v>
      </c>
      <c r="D181" s="34">
        <v>150</v>
      </c>
      <c r="E181" s="34">
        <v>150</v>
      </c>
      <c r="F181" s="34">
        <v>150</v>
      </c>
      <c r="G181" s="34">
        <v>150</v>
      </c>
      <c r="H181" s="34">
        <v>150</v>
      </c>
      <c r="I181" s="34">
        <v>150</v>
      </c>
      <c r="J181" s="35">
        <v>0</v>
      </c>
      <c r="K181" s="36">
        <v>6.6666699999999999</v>
      </c>
      <c r="L181" s="37">
        <v>11.4</v>
      </c>
      <c r="M181" s="34">
        <v>2.4300000000000002</v>
      </c>
      <c r="N181" s="52" t="str">
        <f t="shared" si="36"/>
        <v>150 (0.150 secs)</v>
      </c>
      <c r="O181" s="52" t="str">
        <f t="shared" si="36"/>
        <v>150 (0.150 secs)</v>
      </c>
      <c r="P181" s="52" t="str">
        <f t="shared" si="36"/>
        <v>150 (0.150 secs)</v>
      </c>
      <c r="Q181" s="52" t="str">
        <f t="shared" si="36"/>
        <v>150 (0.150 secs)</v>
      </c>
      <c r="R181" s="52" t="str">
        <f t="shared" si="36"/>
        <v>150 (0.150 secs)</v>
      </c>
      <c r="S181" s="162" t="str">
        <f t="shared" si="36"/>
        <v>150 (0.150 secs)</v>
      </c>
      <c r="T181" s="162" t="str">
        <f t="shared" si="36"/>
        <v>150 (0.150 secs)</v>
      </c>
      <c r="U181" s="52"/>
      <c r="V181" s="156"/>
      <c r="W181" s="156"/>
      <c r="X181" s="156"/>
      <c r="Y181" s="156"/>
      <c r="Z181" s="71"/>
    </row>
    <row r="182" spans="1:26" ht="15" thickBot="1">
      <c r="A182" s="38" t="s">
        <v>128</v>
      </c>
      <c r="B182" s="39">
        <v>4</v>
      </c>
      <c r="C182" s="39">
        <v>13505</v>
      </c>
      <c r="D182" s="39">
        <v>159</v>
      </c>
      <c r="E182" s="39">
        <v>53503</v>
      </c>
      <c r="F182" s="39">
        <v>53503</v>
      </c>
      <c r="G182" s="39">
        <v>53503</v>
      </c>
      <c r="H182" s="39">
        <v>150</v>
      </c>
      <c r="I182" s="39">
        <v>53503</v>
      </c>
      <c r="J182" s="40">
        <v>0</v>
      </c>
      <c r="K182" s="41">
        <v>7.4020000000000002E-2</v>
      </c>
      <c r="L182" s="42">
        <v>0.6</v>
      </c>
      <c r="M182" s="39">
        <v>0.03</v>
      </c>
      <c r="N182" s="57" t="str">
        <f>C182&amp;" ("&amp;TEXT(C182/1000,"0.000")&amp;" secs)"</f>
        <v>13505 (13.505 secs)</v>
      </c>
      <c r="O182" s="53" t="str">
        <f t="shared" si="36"/>
        <v>159 (0.159 secs)</v>
      </c>
      <c r="P182" s="53" t="str">
        <f t="shared" si="36"/>
        <v>53503 (53.503 secs)</v>
      </c>
      <c r="Q182" s="53" t="str">
        <f t="shared" si="36"/>
        <v>53503 (53.503 secs)</v>
      </c>
      <c r="R182" s="53" t="str">
        <f t="shared" si="36"/>
        <v>53503 (53.503 secs)</v>
      </c>
      <c r="S182" s="53" t="str">
        <f t="shared" si="36"/>
        <v>150 (0.150 secs)</v>
      </c>
      <c r="T182" s="53" t="str">
        <f t="shared" si="36"/>
        <v>53503 (53.503 secs)</v>
      </c>
      <c r="U182" s="53"/>
      <c r="V182" s="157"/>
      <c r="W182" s="157"/>
      <c r="X182" s="157"/>
      <c r="Y182" s="157"/>
      <c r="Z182" s="72"/>
    </row>
    <row r="183" spans="1:26">
      <c r="C183" s="29"/>
      <c r="D183" s="28"/>
      <c r="E183" s="29"/>
      <c r="F183" s="29"/>
    </row>
    <row r="184" spans="1:26">
      <c r="A184" s="21" t="s">
        <v>91</v>
      </c>
      <c r="B184" s="22" t="s">
        <v>158</v>
      </c>
      <c r="C184" s="25"/>
      <c r="D184" s="24"/>
      <c r="E184" s="25"/>
      <c r="F184" s="25"/>
      <c r="G184" s="25"/>
      <c r="H184" s="25"/>
      <c r="I184" s="25"/>
      <c r="J184" s="25"/>
      <c r="K184" s="25"/>
      <c r="N184" s="1"/>
      <c r="O184" s="9"/>
      <c r="P184" s="9"/>
      <c r="Q184" s="9"/>
      <c r="R184" s="9"/>
      <c r="S184" s="9"/>
      <c r="T184" s="9"/>
    </row>
    <row r="185" spans="1:26">
      <c r="A185" s="48" t="s">
        <v>13</v>
      </c>
      <c r="B185" s="27" t="s">
        <v>236</v>
      </c>
      <c r="C185" s="24"/>
      <c r="D185" s="24"/>
      <c r="E185" s="25"/>
      <c r="F185" s="25"/>
      <c r="G185" s="25"/>
      <c r="H185" s="25"/>
      <c r="I185" s="25"/>
      <c r="J185" s="25"/>
      <c r="K185" s="25"/>
      <c r="N185" s="1"/>
      <c r="O185" s="9"/>
      <c r="P185" s="9"/>
      <c r="Q185" s="9"/>
      <c r="R185" s="9"/>
      <c r="S185" s="9"/>
      <c r="T185" s="9"/>
    </row>
    <row r="186" spans="1:26">
      <c r="A186" s="49"/>
      <c r="B186" s="5"/>
      <c r="D186" s="9"/>
      <c r="N186" s="1"/>
      <c r="O186" s="9"/>
      <c r="P186" s="9"/>
      <c r="Q186" s="9"/>
      <c r="R186" s="9"/>
      <c r="S186" s="9"/>
      <c r="T186" s="9"/>
    </row>
    <row r="187" spans="1:26">
      <c r="A187" s="30" t="s">
        <v>114</v>
      </c>
      <c r="B187" s="31" t="s">
        <v>115</v>
      </c>
      <c r="C187" s="31" t="s">
        <v>116</v>
      </c>
      <c r="D187" s="31" t="s">
        <v>117</v>
      </c>
      <c r="E187" s="31" t="s">
        <v>118</v>
      </c>
      <c r="F187" s="31" t="s">
        <v>119</v>
      </c>
      <c r="G187" s="31" t="s">
        <v>120</v>
      </c>
      <c r="H187" s="31" t="s">
        <v>121</v>
      </c>
      <c r="I187" s="31" t="s">
        <v>122</v>
      </c>
      <c r="J187" s="31" t="s">
        <v>123</v>
      </c>
      <c r="K187" s="31" t="s">
        <v>143</v>
      </c>
      <c r="L187" s="31" t="s">
        <v>125</v>
      </c>
      <c r="M187" s="31" t="s">
        <v>126</v>
      </c>
      <c r="N187" s="31" t="s">
        <v>116</v>
      </c>
      <c r="O187" s="31" t="s">
        <v>117</v>
      </c>
      <c r="P187" s="31" t="s">
        <v>118</v>
      </c>
      <c r="Q187" s="31" t="s">
        <v>119</v>
      </c>
      <c r="R187" s="31" t="s">
        <v>120</v>
      </c>
      <c r="S187" s="161" t="s">
        <v>121</v>
      </c>
      <c r="T187" s="31" t="s">
        <v>122</v>
      </c>
      <c r="U187" s="31" t="s">
        <v>199</v>
      </c>
      <c r="V187" s="144" t="s">
        <v>200</v>
      </c>
      <c r="W187" s="144" t="s">
        <v>201</v>
      </c>
      <c r="X187" s="144" t="s">
        <v>202</v>
      </c>
      <c r="Y187" s="144" t="s">
        <v>203</v>
      </c>
      <c r="Z187" s="70" t="s">
        <v>127</v>
      </c>
    </row>
    <row r="188" spans="1:26">
      <c r="A188" s="33" t="s">
        <v>33</v>
      </c>
      <c r="B188" s="34">
        <v>1</v>
      </c>
      <c r="C188" s="34">
        <v>1197</v>
      </c>
      <c r="D188" s="34">
        <v>1197</v>
      </c>
      <c r="E188" s="34">
        <v>1197</v>
      </c>
      <c r="F188" s="34">
        <v>1197</v>
      </c>
      <c r="G188" s="34">
        <v>1197</v>
      </c>
      <c r="H188" s="34">
        <v>1197</v>
      </c>
      <c r="I188" s="34">
        <v>1197</v>
      </c>
      <c r="J188" s="35">
        <v>0</v>
      </c>
      <c r="K188" s="36">
        <v>0.83542000000000005</v>
      </c>
      <c r="L188" s="37">
        <v>0.17</v>
      </c>
      <c r="M188" s="34">
        <v>0.38</v>
      </c>
      <c r="N188" s="52" t="str">
        <f>C188&amp;" ("&amp;TEXT(C188/1000,"0.000")&amp;" secs)"</f>
        <v>1197 (1.197 secs)</v>
      </c>
      <c r="O188" s="52" t="str">
        <f>D188&amp;" ("&amp;TEXT(D188/1000,"0.000")&amp;" secs)"</f>
        <v>1197 (1.197 secs)</v>
      </c>
      <c r="P188" s="52" t="str">
        <f t="shared" ref="P188:T192" si="37">E188&amp;" ("&amp;TEXT(E188/1000,"0.000")&amp;" secs)"</f>
        <v>1197 (1.197 secs)</v>
      </c>
      <c r="Q188" s="52" t="str">
        <f t="shared" si="37"/>
        <v>1197 (1.197 secs)</v>
      </c>
      <c r="R188" s="52" t="str">
        <f t="shared" si="37"/>
        <v>1197 (1.197 secs)</v>
      </c>
      <c r="S188" s="162" t="str">
        <f t="shared" si="37"/>
        <v>1197 (1.197 secs)</v>
      </c>
      <c r="T188" s="52" t="str">
        <f t="shared" si="37"/>
        <v>1197 (1.197 secs)</v>
      </c>
      <c r="U188" s="35">
        <v>0.2266</v>
      </c>
      <c r="V188" s="155" t="s">
        <v>237</v>
      </c>
      <c r="W188" s="156" t="s">
        <v>238</v>
      </c>
      <c r="X188" s="155" t="s">
        <v>239</v>
      </c>
      <c r="Y188" s="155">
        <v>0</v>
      </c>
      <c r="Z188" s="80" t="s">
        <v>157</v>
      </c>
    </row>
    <row r="189" spans="1:26">
      <c r="A189" s="33" t="s">
        <v>38</v>
      </c>
      <c r="B189" s="34">
        <v>1</v>
      </c>
      <c r="C189" s="34">
        <v>200</v>
      </c>
      <c r="D189" s="34">
        <v>200</v>
      </c>
      <c r="E189" s="34">
        <v>200</v>
      </c>
      <c r="F189" s="34">
        <v>200</v>
      </c>
      <c r="G189" s="34">
        <v>200</v>
      </c>
      <c r="H189" s="34">
        <v>200</v>
      </c>
      <c r="I189" s="34">
        <v>200</v>
      </c>
      <c r="J189" s="35">
        <v>0</v>
      </c>
      <c r="K189" s="36">
        <v>5</v>
      </c>
      <c r="L189" s="37">
        <v>56.12</v>
      </c>
      <c r="M189" s="34">
        <v>1.69</v>
      </c>
      <c r="N189" s="52" t="str">
        <f t="shared" ref="N189:O192" si="38">C189&amp;" ("&amp;TEXT(C189/1000,"0.000")&amp;" secs)"</f>
        <v>200 (0.200 secs)</v>
      </c>
      <c r="O189" s="52" t="str">
        <f t="shared" si="38"/>
        <v>200 (0.200 secs)</v>
      </c>
      <c r="P189" s="52" t="str">
        <f t="shared" si="37"/>
        <v>200 (0.200 secs)</v>
      </c>
      <c r="Q189" s="52" t="str">
        <f t="shared" si="37"/>
        <v>200 (0.200 secs)</v>
      </c>
      <c r="R189" s="52" t="str">
        <f t="shared" si="37"/>
        <v>200 (0.200 secs)</v>
      </c>
      <c r="S189" s="162" t="str">
        <f t="shared" si="37"/>
        <v>200 (0.200 secs)</v>
      </c>
      <c r="T189" s="162" t="str">
        <f t="shared" si="37"/>
        <v>200 (0.200 secs)</v>
      </c>
      <c r="U189" s="52"/>
      <c r="V189" s="156"/>
      <c r="W189" s="156"/>
      <c r="X189" s="156"/>
      <c r="Y189" s="156"/>
      <c r="Z189" s="71"/>
    </row>
    <row r="190" spans="1:26">
      <c r="A190" s="33" t="s">
        <v>39</v>
      </c>
      <c r="B190" s="34">
        <v>1</v>
      </c>
      <c r="C190" s="34">
        <v>144</v>
      </c>
      <c r="D190" s="34">
        <v>144</v>
      </c>
      <c r="E190" s="34">
        <v>144</v>
      </c>
      <c r="F190" s="34">
        <v>144</v>
      </c>
      <c r="G190" s="34">
        <v>144</v>
      </c>
      <c r="H190" s="34">
        <v>144</v>
      </c>
      <c r="I190" s="34">
        <v>144</v>
      </c>
      <c r="J190" s="35">
        <v>0</v>
      </c>
      <c r="K190" s="36">
        <v>6.9444400000000002</v>
      </c>
      <c r="L190" s="37">
        <v>1.49</v>
      </c>
      <c r="M190" s="34">
        <v>2.64</v>
      </c>
      <c r="N190" s="52" t="str">
        <f t="shared" si="38"/>
        <v>144 (0.144 secs)</v>
      </c>
      <c r="O190" s="52" t="str">
        <f t="shared" si="38"/>
        <v>144 (0.144 secs)</v>
      </c>
      <c r="P190" s="52" t="str">
        <f t="shared" si="37"/>
        <v>144 (0.144 secs)</v>
      </c>
      <c r="Q190" s="52" t="str">
        <f t="shared" si="37"/>
        <v>144 (0.144 secs)</v>
      </c>
      <c r="R190" s="52" t="str">
        <f t="shared" si="37"/>
        <v>144 (0.144 secs)</v>
      </c>
      <c r="S190" s="162" t="str">
        <f t="shared" si="37"/>
        <v>144 (0.144 secs)</v>
      </c>
      <c r="T190" s="162" t="str">
        <f t="shared" si="37"/>
        <v>144 (0.144 secs)</v>
      </c>
      <c r="U190" s="52"/>
      <c r="V190" s="156"/>
      <c r="W190" s="156"/>
      <c r="X190" s="156"/>
      <c r="Y190" s="156"/>
      <c r="Z190" s="71"/>
    </row>
    <row r="191" spans="1:26">
      <c r="A191" s="33" t="s">
        <v>40</v>
      </c>
      <c r="B191" s="34">
        <v>1</v>
      </c>
      <c r="C191" s="34">
        <v>150</v>
      </c>
      <c r="D191" s="34">
        <v>150</v>
      </c>
      <c r="E191" s="34">
        <v>150</v>
      </c>
      <c r="F191" s="34">
        <v>150</v>
      </c>
      <c r="G191" s="34">
        <v>150</v>
      </c>
      <c r="H191" s="34">
        <v>150</v>
      </c>
      <c r="I191" s="34">
        <v>150</v>
      </c>
      <c r="J191" s="35">
        <v>0</v>
      </c>
      <c r="K191" s="36">
        <v>6.6666699999999999</v>
      </c>
      <c r="L191" s="37">
        <v>3.53</v>
      </c>
      <c r="M191" s="34">
        <v>2.42</v>
      </c>
      <c r="N191" s="52" t="str">
        <f t="shared" si="38"/>
        <v>150 (0.150 secs)</v>
      </c>
      <c r="O191" s="52" t="str">
        <f t="shared" si="38"/>
        <v>150 (0.150 secs)</v>
      </c>
      <c r="P191" s="52" t="str">
        <f t="shared" si="37"/>
        <v>150 (0.150 secs)</v>
      </c>
      <c r="Q191" s="52" t="str">
        <f t="shared" si="37"/>
        <v>150 (0.150 secs)</v>
      </c>
      <c r="R191" s="52" t="str">
        <f t="shared" si="37"/>
        <v>150 (0.150 secs)</v>
      </c>
      <c r="S191" s="162" t="str">
        <f t="shared" si="37"/>
        <v>150 (0.150 secs)</v>
      </c>
      <c r="T191" s="162" t="str">
        <f t="shared" si="37"/>
        <v>150 (0.150 secs)</v>
      </c>
      <c r="U191" s="52"/>
      <c r="V191" s="156"/>
      <c r="W191" s="156"/>
      <c r="X191" s="156"/>
      <c r="Y191" s="156"/>
      <c r="Z191" s="71"/>
    </row>
    <row r="192" spans="1:26" ht="15" thickBot="1">
      <c r="A192" s="38" t="s">
        <v>128</v>
      </c>
      <c r="B192" s="39">
        <v>4</v>
      </c>
      <c r="C192" s="39">
        <v>422</v>
      </c>
      <c r="D192" s="39">
        <v>150</v>
      </c>
      <c r="E192" s="39">
        <v>1197</v>
      </c>
      <c r="F192" s="39">
        <v>1197</v>
      </c>
      <c r="G192" s="39">
        <v>1197</v>
      </c>
      <c r="H192" s="39">
        <v>144</v>
      </c>
      <c r="I192" s="39">
        <v>1197</v>
      </c>
      <c r="J192" s="40">
        <v>0</v>
      </c>
      <c r="K192" s="41">
        <v>2.33508</v>
      </c>
      <c r="L192" s="42">
        <v>7.1</v>
      </c>
      <c r="M192" s="39">
        <v>0.9</v>
      </c>
      <c r="N192" s="53" t="str">
        <f t="shared" si="38"/>
        <v>422 (0.422 secs)</v>
      </c>
      <c r="O192" s="53" t="str">
        <f t="shared" si="38"/>
        <v>150 (0.150 secs)</v>
      </c>
      <c r="P192" s="53" t="str">
        <f t="shared" si="37"/>
        <v>1197 (1.197 secs)</v>
      </c>
      <c r="Q192" s="53" t="str">
        <f t="shared" si="37"/>
        <v>1197 (1.197 secs)</v>
      </c>
      <c r="R192" s="53" t="str">
        <f t="shared" si="37"/>
        <v>1197 (1.197 secs)</v>
      </c>
      <c r="S192" s="163" t="str">
        <f t="shared" si="37"/>
        <v>144 (0.144 secs)</v>
      </c>
      <c r="T192" s="163" t="str">
        <f t="shared" si="37"/>
        <v>1197 (1.197 secs)</v>
      </c>
      <c r="U192" s="53"/>
      <c r="V192" s="157"/>
      <c r="W192" s="157"/>
      <c r="X192" s="157"/>
      <c r="Y192" s="157"/>
      <c r="Z192" s="72"/>
    </row>
    <row r="194" spans="1:26">
      <c r="A194" s="21" t="s">
        <v>93</v>
      </c>
      <c r="B194" s="22" t="s">
        <v>94</v>
      </c>
      <c r="C194" s="25"/>
      <c r="D194" s="25"/>
      <c r="E194" s="25"/>
      <c r="F194" s="25"/>
      <c r="G194" s="25"/>
      <c r="H194" s="25"/>
      <c r="I194" s="25"/>
      <c r="J194" s="25"/>
      <c r="K194" s="25"/>
      <c r="N194" s="1"/>
      <c r="O194" s="9"/>
      <c r="P194" s="9"/>
      <c r="Q194" s="9"/>
      <c r="R194" s="9"/>
      <c r="S194" s="9"/>
      <c r="T194" s="9"/>
    </row>
    <row r="195" spans="1:26">
      <c r="A195" s="48" t="s">
        <v>13</v>
      </c>
      <c r="B195" s="27" t="s">
        <v>240</v>
      </c>
      <c r="C195" s="24"/>
      <c r="D195" s="24"/>
      <c r="E195" s="25"/>
      <c r="F195" s="25"/>
      <c r="G195" s="25"/>
      <c r="H195" s="25"/>
      <c r="I195" s="25"/>
      <c r="J195" s="25"/>
      <c r="K195" s="25"/>
      <c r="N195" s="1"/>
      <c r="O195" s="9"/>
      <c r="P195" s="9"/>
      <c r="Q195" s="9"/>
      <c r="R195" s="9"/>
      <c r="S195" s="9"/>
      <c r="T195" s="9"/>
    </row>
    <row r="196" spans="1:26">
      <c r="A196" s="49"/>
      <c r="B196" s="5"/>
      <c r="D196" s="9"/>
      <c r="N196" s="1"/>
      <c r="O196" s="9"/>
      <c r="P196" s="9"/>
      <c r="Q196" s="9"/>
      <c r="R196" s="9"/>
      <c r="S196" s="9"/>
      <c r="T196" s="9"/>
    </row>
    <row r="197" spans="1:26">
      <c r="A197" s="30" t="s">
        <v>114</v>
      </c>
      <c r="B197" s="31" t="s">
        <v>115</v>
      </c>
      <c r="C197" s="31" t="s">
        <v>116</v>
      </c>
      <c r="D197" s="31" t="s">
        <v>117</v>
      </c>
      <c r="E197" s="31" t="s">
        <v>118</v>
      </c>
      <c r="F197" s="31" t="s">
        <v>119</v>
      </c>
      <c r="G197" s="31" t="s">
        <v>120</v>
      </c>
      <c r="H197" s="31" t="s">
        <v>121</v>
      </c>
      <c r="I197" s="31" t="s">
        <v>122</v>
      </c>
      <c r="J197" s="31" t="s">
        <v>123</v>
      </c>
      <c r="K197" s="31" t="s">
        <v>143</v>
      </c>
      <c r="L197" s="31" t="s">
        <v>125</v>
      </c>
      <c r="M197" s="31" t="s">
        <v>126</v>
      </c>
      <c r="N197" s="31" t="s">
        <v>116</v>
      </c>
      <c r="O197" s="31" t="s">
        <v>117</v>
      </c>
      <c r="P197" s="31" t="s">
        <v>118</v>
      </c>
      <c r="Q197" s="31" t="s">
        <v>119</v>
      </c>
      <c r="R197" s="31" t="s">
        <v>120</v>
      </c>
      <c r="S197" s="161" t="s">
        <v>121</v>
      </c>
      <c r="T197" s="31" t="s">
        <v>122</v>
      </c>
      <c r="U197" s="31" t="s">
        <v>199</v>
      </c>
      <c r="V197" s="144" t="s">
        <v>200</v>
      </c>
      <c r="W197" s="144" t="s">
        <v>201</v>
      </c>
      <c r="X197" s="144" t="s">
        <v>202</v>
      </c>
      <c r="Y197" s="144" t="s">
        <v>203</v>
      </c>
      <c r="Z197" s="70" t="s">
        <v>127</v>
      </c>
    </row>
    <row r="198" spans="1:26">
      <c r="A198" s="33" t="s">
        <v>33</v>
      </c>
      <c r="B198" s="34">
        <v>1</v>
      </c>
      <c r="C198" s="34">
        <v>13201</v>
      </c>
      <c r="D198" s="34">
        <v>13201</v>
      </c>
      <c r="E198" s="34">
        <v>13201</v>
      </c>
      <c r="F198" s="34">
        <v>13201</v>
      </c>
      <c r="G198" s="34">
        <v>13201</v>
      </c>
      <c r="H198" s="34">
        <v>13201</v>
      </c>
      <c r="I198" s="34">
        <v>13201</v>
      </c>
      <c r="J198" s="35">
        <v>0</v>
      </c>
      <c r="K198" s="36">
        <v>7.5749999999999998E-2</v>
      </c>
      <c r="L198" s="37">
        <v>0.02</v>
      </c>
      <c r="M198" s="34">
        <v>0.03</v>
      </c>
      <c r="N198" s="50" t="str">
        <f>C198&amp;" ("&amp;TEXT(C198/1000,"0.000")&amp;" secs)"</f>
        <v>13201 (13.201 secs)</v>
      </c>
      <c r="O198" s="52" t="str">
        <f>D198&amp;" ("&amp;TEXT(D198/1000,"0.000")&amp;" secs)"</f>
        <v>13201 (13.201 secs)</v>
      </c>
      <c r="P198" s="52" t="str">
        <f t="shared" ref="P198:T202" si="39">E198&amp;" ("&amp;TEXT(E198/1000,"0.000")&amp;" secs)"</f>
        <v>13201 (13.201 secs)</v>
      </c>
      <c r="Q198" s="52" t="str">
        <f t="shared" si="39"/>
        <v>13201 (13.201 secs)</v>
      </c>
      <c r="R198" s="52" t="str">
        <f t="shared" si="39"/>
        <v>13201 (13.201 secs)</v>
      </c>
      <c r="S198" s="162" t="str">
        <f t="shared" si="39"/>
        <v>13201 (13.201 secs)</v>
      </c>
      <c r="T198" s="52" t="str">
        <f t="shared" si="39"/>
        <v>13201 (13.201 secs)</v>
      </c>
      <c r="U198" s="35">
        <v>0.51790000000000003</v>
      </c>
      <c r="V198" s="155" t="s">
        <v>241</v>
      </c>
      <c r="W198" s="156" t="s">
        <v>242</v>
      </c>
      <c r="X198" s="155" t="s">
        <v>243</v>
      </c>
      <c r="Y198" s="155">
        <v>0</v>
      </c>
      <c r="Z198" s="80" t="s">
        <v>157</v>
      </c>
    </row>
    <row r="199" spans="1:26">
      <c r="A199" s="33" t="s">
        <v>38</v>
      </c>
      <c r="B199" s="34">
        <v>1</v>
      </c>
      <c r="C199" s="34">
        <v>192</v>
      </c>
      <c r="D199" s="34">
        <v>192</v>
      </c>
      <c r="E199" s="34">
        <v>192</v>
      </c>
      <c r="F199" s="34">
        <v>192</v>
      </c>
      <c r="G199" s="34">
        <v>192</v>
      </c>
      <c r="H199" s="34">
        <v>192</v>
      </c>
      <c r="I199" s="34">
        <v>192</v>
      </c>
      <c r="J199" s="35">
        <v>0</v>
      </c>
      <c r="K199" s="36">
        <v>5.2083300000000001</v>
      </c>
      <c r="L199" s="37">
        <v>60.48</v>
      </c>
      <c r="M199" s="34">
        <v>1.76</v>
      </c>
      <c r="N199" s="52" t="str">
        <f t="shared" ref="N199:O202" si="40">C199&amp;" ("&amp;TEXT(C199/1000,"0.000")&amp;" secs)"</f>
        <v>192 (0.192 secs)</v>
      </c>
      <c r="O199" s="52" t="str">
        <f t="shared" si="40"/>
        <v>192 (0.192 secs)</v>
      </c>
      <c r="P199" s="52" t="str">
        <f t="shared" si="39"/>
        <v>192 (0.192 secs)</v>
      </c>
      <c r="Q199" s="52" t="str">
        <f t="shared" si="39"/>
        <v>192 (0.192 secs)</v>
      </c>
      <c r="R199" s="52" t="str">
        <f t="shared" si="39"/>
        <v>192 (0.192 secs)</v>
      </c>
      <c r="S199" s="162" t="str">
        <f t="shared" si="39"/>
        <v>192 (0.192 secs)</v>
      </c>
      <c r="T199" s="162" t="str">
        <f t="shared" si="39"/>
        <v>192 (0.192 secs)</v>
      </c>
      <c r="U199" s="52"/>
      <c r="V199" s="156"/>
      <c r="W199" s="156"/>
      <c r="X199" s="156"/>
      <c r="Y199" s="156"/>
      <c r="Z199" s="71"/>
    </row>
    <row r="200" spans="1:26">
      <c r="A200" s="33" t="s">
        <v>39</v>
      </c>
      <c r="B200" s="34">
        <v>1</v>
      </c>
      <c r="C200" s="34">
        <v>143</v>
      </c>
      <c r="D200" s="34">
        <v>143</v>
      </c>
      <c r="E200" s="34">
        <v>143</v>
      </c>
      <c r="F200" s="34">
        <v>143</v>
      </c>
      <c r="G200" s="34">
        <v>143</v>
      </c>
      <c r="H200" s="34">
        <v>143</v>
      </c>
      <c r="I200" s="34">
        <v>143</v>
      </c>
      <c r="J200" s="35">
        <v>0</v>
      </c>
      <c r="K200" s="36">
        <v>6.9930099999999999</v>
      </c>
      <c r="L200" s="37">
        <v>43.02</v>
      </c>
      <c r="M200" s="34">
        <v>2.66</v>
      </c>
      <c r="N200" s="52" t="str">
        <f t="shared" si="40"/>
        <v>143 (0.143 secs)</v>
      </c>
      <c r="O200" s="52" t="str">
        <f t="shared" si="40"/>
        <v>143 (0.143 secs)</v>
      </c>
      <c r="P200" s="52" t="str">
        <f t="shared" si="39"/>
        <v>143 (0.143 secs)</v>
      </c>
      <c r="Q200" s="52" t="str">
        <f t="shared" si="39"/>
        <v>143 (0.143 secs)</v>
      </c>
      <c r="R200" s="52" t="str">
        <f t="shared" si="39"/>
        <v>143 (0.143 secs)</v>
      </c>
      <c r="S200" s="162" t="str">
        <f t="shared" si="39"/>
        <v>143 (0.143 secs)</v>
      </c>
      <c r="T200" s="162" t="str">
        <f t="shared" si="39"/>
        <v>143 (0.143 secs)</v>
      </c>
      <c r="U200" s="52"/>
      <c r="V200" s="156"/>
      <c r="W200" s="156"/>
      <c r="X200" s="156"/>
      <c r="Y200" s="156"/>
      <c r="Z200" s="71"/>
    </row>
    <row r="201" spans="1:26">
      <c r="A201" s="33" t="s">
        <v>40</v>
      </c>
      <c r="B201" s="34">
        <v>1</v>
      </c>
      <c r="C201" s="34">
        <v>135</v>
      </c>
      <c r="D201" s="34">
        <v>135</v>
      </c>
      <c r="E201" s="34">
        <v>135</v>
      </c>
      <c r="F201" s="34">
        <v>135</v>
      </c>
      <c r="G201" s="34">
        <v>135</v>
      </c>
      <c r="H201" s="34">
        <v>135</v>
      </c>
      <c r="I201" s="34">
        <v>135</v>
      </c>
      <c r="J201" s="35">
        <v>0</v>
      </c>
      <c r="K201" s="36">
        <v>7.4074099999999996</v>
      </c>
      <c r="L201" s="37">
        <v>3.89</v>
      </c>
      <c r="M201" s="34">
        <v>2.7</v>
      </c>
      <c r="N201" s="52" t="str">
        <f t="shared" si="40"/>
        <v>135 (0.135 secs)</v>
      </c>
      <c r="O201" s="52" t="str">
        <f t="shared" si="40"/>
        <v>135 (0.135 secs)</v>
      </c>
      <c r="P201" s="52" t="str">
        <f t="shared" si="39"/>
        <v>135 (0.135 secs)</v>
      </c>
      <c r="Q201" s="52" t="str">
        <f t="shared" si="39"/>
        <v>135 (0.135 secs)</v>
      </c>
      <c r="R201" s="52" t="str">
        <f t="shared" si="39"/>
        <v>135 (0.135 secs)</v>
      </c>
      <c r="S201" s="162" t="str">
        <f t="shared" si="39"/>
        <v>135 (0.135 secs)</v>
      </c>
      <c r="T201" s="162" t="str">
        <f t="shared" si="39"/>
        <v>135 (0.135 secs)</v>
      </c>
      <c r="U201" s="52"/>
      <c r="V201" s="156"/>
      <c r="W201" s="156"/>
      <c r="X201" s="156"/>
      <c r="Y201" s="156"/>
      <c r="Z201" s="71"/>
    </row>
    <row r="202" spans="1:26" ht="15" thickBot="1">
      <c r="A202" s="38" t="s">
        <v>128</v>
      </c>
      <c r="B202" s="39">
        <v>4</v>
      </c>
      <c r="C202" s="39">
        <v>3417</v>
      </c>
      <c r="D202" s="39">
        <v>143</v>
      </c>
      <c r="E202" s="39">
        <v>13201</v>
      </c>
      <c r="F202" s="39">
        <v>13201</v>
      </c>
      <c r="G202" s="39">
        <v>13201</v>
      </c>
      <c r="H202" s="39">
        <v>135</v>
      </c>
      <c r="I202" s="39">
        <v>13201</v>
      </c>
      <c r="J202" s="40">
        <v>0</v>
      </c>
      <c r="K202" s="41">
        <v>0.29208000000000001</v>
      </c>
      <c r="L202" s="42">
        <v>1.35</v>
      </c>
      <c r="M202" s="39">
        <v>0.11</v>
      </c>
      <c r="N202" s="57" t="str">
        <f t="shared" si="40"/>
        <v>3417 (3.417 secs)</v>
      </c>
      <c r="O202" s="53" t="str">
        <f t="shared" si="40"/>
        <v>143 (0.143 secs)</v>
      </c>
      <c r="P202" s="53" t="str">
        <f t="shared" si="39"/>
        <v>13201 (13.201 secs)</v>
      </c>
      <c r="Q202" s="53" t="str">
        <f t="shared" si="39"/>
        <v>13201 (13.201 secs)</v>
      </c>
      <c r="R202" s="53" t="str">
        <f t="shared" si="39"/>
        <v>13201 (13.201 secs)</v>
      </c>
      <c r="S202" s="163" t="str">
        <f t="shared" si="39"/>
        <v>135 (0.135 secs)</v>
      </c>
      <c r="T202" s="163" t="str">
        <f t="shared" si="39"/>
        <v>13201 (13.201 secs)</v>
      </c>
      <c r="U202" s="53"/>
      <c r="V202" s="157"/>
      <c r="W202" s="157"/>
      <c r="X202" s="157"/>
      <c r="Y202" s="157"/>
      <c r="Z202" s="72"/>
    </row>
    <row r="204" spans="1:26">
      <c r="A204" s="21" t="s">
        <v>96</v>
      </c>
      <c r="B204" s="22" t="s">
        <v>186</v>
      </c>
      <c r="C204" s="25"/>
      <c r="D204" s="25"/>
      <c r="E204" s="25"/>
      <c r="F204" s="25"/>
      <c r="G204" s="25"/>
      <c r="H204" s="25"/>
      <c r="I204" s="25"/>
      <c r="J204" s="25"/>
      <c r="K204" s="25"/>
      <c r="N204" s="1"/>
      <c r="O204" s="9"/>
      <c r="P204" s="9"/>
      <c r="Q204" s="9"/>
      <c r="R204" s="9"/>
      <c r="S204" s="9"/>
      <c r="T204" s="9"/>
    </row>
    <row r="205" spans="1:26">
      <c r="A205" s="48" t="s">
        <v>13</v>
      </c>
      <c r="B205" s="27" t="s">
        <v>244</v>
      </c>
      <c r="C205" s="24"/>
      <c r="D205" s="24"/>
      <c r="E205" s="25"/>
      <c r="F205" s="25"/>
      <c r="G205" s="25"/>
      <c r="H205" s="25"/>
      <c r="I205" s="25"/>
      <c r="J205" s="25"/>
      <c r="K205" s="25"/>
      <c r="N205" s="1"/>
      <c r="O205" s="9"/>
      <c r="P205" s="9"/>
      <c r="Q205" s="9"/>
      <c r="R205" s="9"/>
      <c r="S205" s="9"/>
      <c r="T205" s="9"/>
    </row>
    <row r="206" spans="1:26">
      <c r="A206" s="49"/>
      <c r="B206" s="5"/>
      <c r="D206" s="9"/>
      <c r="N206" s="1"/>
      <c r="O206" s="9"/>
      <c r="P206" s="9"/>
      <c r="Q206" s="9"/>
      <c r="R206" s="9"/>
      <c r="S206" s="9"/>
      <c r="T206" s="9"/>
    </row>
    <row r="207" spans="1:26">
      <c r="A207" s="30" t="s">
        <v>114</v>
      </c>
      <c r="B207" s="31" t="s">
        <v>115</v>
      </c>
      <c r="C207" s="31" t="s">
        <v>116</v>
      </c>
      <c r="D207" s="31" t="s">
        <v>117</v>
      </c>
      <c r="E207" s="31" t="s">
        <v>118</v>
      </c>
      <c r="F207" s="31" t="s">
        <v>119</v>
      </c>
      <c r="G207" s="31" t="s">
        <v>120</v>
      </c>
      <c r="H207" s="31" t="s">
        <v>121</v>
      </c>
      <c r="I207" s="31" t="s">
        <v>122</v>
      </c>
      <c r="J207" s="31" t="s">
        <v>123</v>
      </c>
      <c r="K207" s="31" t="s">
        <v>143</v>
      </c>
      <c r="L207" s="31" t="s">
        <v>125</v>
      </c>
      <c r="M207" s="31" t="s">
        <v>126</v>
      </c>
      <c r="N207" s="31" t="s">
        <v>116</v>
      </c>
      <c r="O207" s="31" t="s">
        <v>117</v>
      </c>
      <c r="P207" s="31" t="s">
        <v>118</v>
      </c>
      <c r="Q207" s="31" t="s">
        <v>119</v>
      </c>
      <c r="R207" s="31" t="s">
        <v>120</v>
      </c>
      <c r="S207" s="161" t="s">
        <v>121</v>
      </c>
      <c r="T207" s="31" t="s">
        <v>122</v>
      </c>
      <c r="U207" s="31" t="s">
        <v>199</v>
      </c>
      <c r="V207" s="144" t="s">
        <v>200</v>
      </c>
      <c r="W207" s="144" t="s">
        <v>201</v>
      </c>
      <c r="X207" s="144" t="s">
        <v>202</v>
      </c>
      <c r="Y207" s="144" t="s">
        <v>203</v>
      </c>
      <c r="Z207" s="70" t="s">
        <v>127</v>
      </c>
    </row>
    <row r="208" spans="1:26">
      <c r="A208" s="33" t="s">
        <v>33</v>
      </c>
      <c r="B208" s="34">
        <v>2</v>
      </c>
      <c r="C208" s="34">
        <v>12768</v>
      </c>
      <c r="D208" s="34">
        <v>9264</v>
      </c>
      <c r="E208" s="34">
        <v>16272</v>
      </c>
      <c r="F208" s="34">
        <v>16272</v>
      </c>
      <c r="G208" s="34">
        <v>16272</v>
      </c>
      <c r="H208" s="34">
        <v>9264</v>
      </c>
      <c r="I208" s="34">
        <v>16272</v>
      </c>
      <c r="J208" s="35">
        <v>0</v>
      </c>
      <c r="K208" s="36">
        <v>0.12291000000000001</v>
      </c>
      <c r="L208" s="37">
        <v>0.02</v>
      </c>
      <c r="M208" s="34">
        <v>0.06</v>
      </c>
      <c r="N208" s="52" t="str">
        <f>C208&amp;" ("&amp;TEXT(C208/1000,"0.000")&amp;" secs)"</f>
        <v>12768 (12.768 secs)</v>
      </c>
      <c r="O208" s="52" t="str">
        <f>D208&amp;" ("&amp;TEXT(D208/1000,"0.000")&amp;" secs)"</f>
        <v>9264 (9.264 secs)</v>
      </c>
      <c r="P208" s="52" t="str">
        <f t="shared" ref="P208:T212" si="41">E208&amp;" ("&amp;TEXT(E208/1000,"0.000")&amp;" secs)"</f>
        <v>16272 (16.272 secs)</v>
      </c>
      <c r="Q208" s="52" t="str">
        <f t="shared" si="41"/>
        <v>16272 (16.272 secs)</v>
      </c>
      <c r="R208" s="52" t="str">
        <f t="shared" si="41"/>
        <v>16272 (16.272 secs)</v>
      </c>
      <c r="S208" s="162" t="str">
        <f t="shared" si="41"/>
        <v>9264 (9.264 secs)</v>
      </c>
      <c r="T208" s="52" t="str">
        <f t="shared" si="41"/>
        <v>16272 (16.272 secs)</v>
      </c>
      <c r="U208" s="35">
        <v>0.31730000000000003</v>
      </c>
      <c r="V208" s="156" t="s">
        <v>245</v>
      </c>
      <c r="W208" s="156" t="s">
        <v>246</v>
      </c>
      <c r="X208" s="156" t="s">
        <v>247</v>
      </c>
      <c r="Y208" s="155">
        <v>0</v>
      </c>
      <c r="Z208" s="71" t="s">
        <v>157</v>
      </c>
    </row>
    <row r="209" spans="1:26">
      <c r="A209" s="33" t="s">
        <v>38</v>
      </c>
      <c r="B209" s="34">
        <v>2</v>
      </c>
      <c r="C209" s="34">
        <v>407</v>
      </c>
      <c r="D209" s="34">
        <v>291</v>
      </c>
      <c r="E209" s="34">
        <v>524</v>
      </c>
      <c r="F209" s="34">
        <v>524</v>
      </c>
      <c r="G209" s="34">
        <v>524</v>
      </c>
      <c r="H209" s="34">
        <v>291</v>
      </c>
      <c r="I209" s="34">
        <v>524</v>
      </c>
      <c r="J209" s="35">
        <v>0</v>
      </c>
      <c r="K209" s="36">
        <v>3.8167900000000001</v>
      </c>
      <c r="L209" s="37">
        <v>67</v>
      </c>
      <c r="M209" s="34">
        <v>1.29</v>
      </c>
      <c r="N209" s="52" t="str">
        <f t="shared" ref="N209:O212" si="42">C209&amp;" ("&amp;TEXT(C209/1000,"0.000")&amp;" secs)"</f>
        <v>407 (0.407 secs)</v>
      </c>
      <c r="O209" s="52" t="str">
        <f t="shared" si="42"/>
        <v>291 (0.291 secs)</v>
      </c>
      <c r="P209" s="52" t="str">
        <f t="shared" si="41"/>
        <v>524 (0.524 secs)</v>
      </c>
      <c r="Q209" s="52" t="str">
        <f t="shared" si="41"/>
        <v>524 (0.524 secs)</v>
      </c>
      <c r="R209" s="52" t="str">
        <f t="shared" si="41"/>
        <v>524 (0.524 secs)</v>
      </c>
      <c r="S209" s="162" t="str">
        <f t="shared" si="41"/>
        <v>291 (0.291 secs)</v>
      </c>
      <c r="T209" s="162" t="str">
        <f t="shared" si="41"/>
        <v>524 (0.524 secs)</v>
      </c>
      <c r="U209" s="52"/>
      <c r="V209" s="156"/>
      <c r="W209" s="156"/>
      <c r="X209" s="156"/>
      <c r="Y209" s="156"/>
      <c r="Z209" s="71"/>
    </row>
    <row r="210" spans="1:26">
      <c r="A210" s="33" t="s">
        <v>39</v>
      </c>
      <c r="B210" s="34">
        <v>2</v>
      </c>
      <c r="C210" s="34">
        <v>181</v>
      </c>
      <c r="D210" s="34">
        <v>147</v>
      </c>
      <c r="E210" s="34">
        <v>215</v>
      </c>
      <c r="F210" s="34">
        <v>215</v>
      </c>
      <c r="G210" s="34">
        <v>215</v>
      </c>
      <c r="H210" s="34">
        <v>147</v>
      </c>
      <c r="I210" s="34">
        <v>215</v>
      </c>
      <c r="J210" s="35">
        <v>0</v>
      </c>
      <c r="K210" s="36">
        <v>9.3023299999999995</v>
      </c>
      <c r="L210" s="37">
        <v>3.1</v>
      </c>
      <c r="M210" s="34">
        <v>3.53</v>
      </c>
      <c r="N210" s="52" t="str">
        <f t="shared" si="42"/>
        <v>181 (0.181 secs)</v>
      </c>
      <c r="O210" s="52" t="str">
        <f t="shared" si="42"/>
        <v>147 (0.147 secs)</v>
      </c>
      <c r="P210" s="52" t="str">
        <f t="shared" si="41"/>
        <v>215 (0.215 secs)</v>
      </c>
      <c r="Q210" s="52" t="str">
        <f t="shared" si="41"/>
        <v>215 (0.215 secs)</v>
      </c>
      <c r="R210" s="52" t="str">
        <f t="shared" si="41"/>
        <v>215 (0.215 secs)</v>
      </c>
      <c r="S210" s="162" t="str">
        <f t="shared" si="41"/>
        <v>147 (0.147 secs)</v>
      </c>
      <c r="T210" s="162" t="str">
        <f t="shared" si="41"/>
        <v>215 (0.215 secs)</v>
      </c>
      <c r="U210" s="52"/>
      <c r="V210" s="156"/>
      <c r="W210" s="156"/>
      <c r="X210" s="156"/>
      <c r="Y210" s="156"/>
      <c r="Z210" s="71"/>
    </row>
    <row r="211" spans="1:26">
      <c r="A211" s="33" t="s">
        <v>40</v>
      </c>
      <c r="B211" s="34">
        <v>2</v>
      </c>
      <c r="C211" s="34">
        <v>175</v>
      </c>
      <c r="D211" s="34">
        <v>139</v>
      </c>
      <c r="E211" s="34">
        <v>212</v>
      </c>
      <c r="F211" s="34">
        <v>212</v>
      </c>
      <c r="G211" s="34">
        <v>212</v>
      </c>
      <c r="H211" s="34">
        <v>139</v>
      </c>
      <c r="I211" s="34">
        <v>212</v>
      </c>
      <c r="J211" s="35">
        <v>0</v>
      </c>
      <c r="K211" s="36">
        <v>9.4339600000000008</v>
      </c>
      <c r="L211" s="37">
        <v>2.69</v>
      </c>
      <c r="M211" s="34">
        <v>3.43</v>
      </c>
      <c r="N211" s="52" t="str">
        <f t="shared" si="42"/>
        <v>175 (0.175 secs)</v>
      </c>
      <c r="O211" s="52" t="str">
        <f t="shared" si="42"/>
        <v>139 (0.139 secs)</v>
      </c>
      <c r="P211" s="52" t="str">
        <f t="shared" si="41"/>
        <v>212 (0.212 secs)</v>
      </c>
      <c r="Q211" s="52" t="str">
        <f t="shared" si="41"/>
        <v>212 (0.212 secs)</v>
      </c>
      <c r="R211" s="52" t="str">
        <f t="shared" si="41"/>
        <v>212 (0.212 secs)</v>
      </c>
      <c r="S211" s="162" t="str">
        <f t="shared" si="41"/>
        <v>139 (0.139 secs)</v>
      </c>
      <c r="T211" s="162" t="str">
        <f t="shared" si="41"/>
        <v>212 (0.212 secs)</v>
      </c>
      <c r="U211" s="52"/>
      <c r="V211" s="156"/>
      <c r="W211" s="156"/>
      <c r="X211" s="156"/>
      <c r="Y211" s="156"/>
      <c r="Z211" s="71"/>
    </row>
    <row r="212" spans="1:26" ht="15" thickBot="1">
      <c r="A212" s="38" t="s">
        <v>128</v>
      </c>
      <c r="B212" s="39">
        <v>8</v>
      </c>
      <c r="C212" s="39">
        <v>3383</v>
      </c>
      <c r="D212" s="39">
        <v>215</v>
      </c>
      <c r="E212" s="39">
        <v>9264</v>
      </c>
      <c r="F212" s="39">
        <v>16272</v>
      </c>
      <c r="G212" s="39">
        <v>16272</v>
      </c>
      <c r="H212" s="39">
        <v>139</v>
      </c>
      <c r="I212" s="39">
        <v>16272</v>
      </c>
      <c r="J212" s="40">
        <v>0</v>
      </c>
      <c r="K212" s="41">
        <v>0.46444000000000002</v>
      </c>
      <c r="L212" s="42">
        <v>2.13</v>
      </c>
      <c r="M212" s="39">
        <v>0.18</v>
      </c>
      <c r="N212" s="53" t="str">
        <f t="shared" si="42"/>
        <v>3383 (3.383 secs)</v>
      </c>
      <c r="O212" s="53" t="str">
        <f t="shared" si="42"/>
        <v>215 (0.215 secs)</v>
      </c>
      <c r="P212" s="53" t="str">
        <f t="shared" si="41"/>
        <v>9264 (9.264 secs)</v>
      </c>
      <c r="Q212" s="53" t="str">
        <f t="shared" si="41"/>
        <v>16272 (16.272 secs)</v>
      </c>
      <c r="R212" s="53" t="str">
        <f t="shared" si="41"/>
        <v>16272 (16.272 secs)</v>
      </c>
      <c r="S212" s="163" t="str">
        <f t="shared" si="41"/>
        <v>139 (0.139 secs)</v>
      </c>
      <c r="T212" s="163" t="str">
        <f t="shared" si="41"/>
        <v>16272 (16.272 secs)</v>
      </c>
      <c r="U212" s="53"/>
      <c r="V212" s="157"/>
      <c r="W212" s="157"/>
      <c r="X212" s="157"/>
      <c r="Y212" s="157"/>
      <c r="Z212" s="72"/>
    </row>
  </sheetData>
  <mergeCells count="1">
    <mergeCell ref="S1:T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C613D-A98C-4563-AB3B-759B8C3D283F}">
  <dimension ref="A1:R181"/>
  <sheetViews>
    <sheetView topLeftCell="A24" zoomScale="80" zoomScaleNormal="80" workbookViewId="0">
      <selection activeCell="F184" sqref="F184"/>
    </sheetView>
  </sheetViews>
  <sheetFormatPr defaultColWidth="8.85546875" defaultRowHeight="14.45"/>
  <cols>
    <col min="1" max="1" width="16.5703125" style="66" customWidth="1"/>
    <col min="2" max="2" width="11" style="10" customWidth="1"/>
    <col min="3" max="3" width="28.42578125" style="5" customWidth="1"/>
    <col min="4" max="4" width="16.42578125" style="10" customWidth="1"/>
    <col min="5" max="5" width="19" style="10" customWidth="1"/>
    <col min="6" max="6" width="27.5703125" style="10" customWidth="1"/>
    <col min="7" max="7" width="8.5703125" style="10" bestFit="1" customWidth="1"/>
    <col min="8" max="8" width="7.5703125" style="10" bestFit="1" customWidth="1"/>
    <col min="9" max="9" width="13.5703125" style="10" bestFit="1" customWidth="1"/>
    <col min="10" max="10" width="15.42578125" style="10" customWidth="1"/>
    <col min="11" max="11" width="9.140625" style="10" bestFit="1" customWidth="1"/>
    <col min="12" max="12" width="10.42578125" style="10" bestFit="1" customWidth="1"/>
    <col min="13" max="13" width="9.5703125" style="10" bestFit="1" customWidth="1"/>
    <col min="14" max="14" width="16.5703125" style="5" customWidth="1"/>
    <col min="15" max="15" width="7.42578125" style="10" bestFit="1" customWidth="1"/>
    <col min="16" max="16" width="8.42578125" style="10" bestFit="1" customWidth="1"/>
    <col min="17" max="17" width="7.85546875" style="10" bestFit="1" customWidth="1"/>
    <col min="18" max="18" width="26.5703125" style="10" customWidth="1"/>
    <col min="19" max="16384" width="8.85546875" style="5"/>
  </cols>
  <sheetData>
    <row r="1" spans="1:18" s="15" customFormat="1">
      <c r="A1" s="170" t="s">
        <v>0</v>
      </c>
      <c r="B1" s="170"/>
      <c r="C1" s="7" t="s">
        <v>1</v>
      </c>
      <c r="D1" s="9"/>
      <c r="E1" s="9"/>
      <c r="F1" s="9"/>
      <c r="G1" s="9"/>
      <c r="H1" s="9"/>
      <c r="I1" s="9"/>
      <c r="J1" s="9"/>
      <c r="K1" s="9"/>
      <c r="L1" s="9"/>
      <c r="M1" s="9"/>
      <c r="O1" s="9"/>
      <c r="P1" s="9"/>
      <c r="Q1" s="9"/>
      <c r="R1" s="9"/>
    </row>
    <row r="2" spans="1:18" s="15" customFormat="1" ht="12">
      <c r="A2" s="171" t="s">
        <v>2</v>
      </c>
      <c r="B2" s="171"/>
      <c r="C2" s="15" t="s">
        <v>3</v>
      </c>
      <c r="D2" s="9"/>
      <c r="E2" s="9"/>
      <c r="F2" s="9"/>
      <c r="G2" s="9"/>
      <c r="H2" s="9"/>
      <c r="I2" s="9"/>
      <c r="J2" s="9"/>
      <c r="K2" s="9"/>
      <c r="L2" s="9"/>
      <c r="M2" s="9"/>
      <c r="O2" s="9"/>
      <c r="P2" s="9"/>
      <c r="Q2" s="9"/>
      <c r="R2" s="9"/>
    </row>
    <row r="3" spans="1:18" s="15" customFormat="1" ht="12">
      <c r="A3" s="174"/>
      <c r="B3" s="174"/>
      <c r="C3" s="15" t="s">
        <v>4</v>
      </c>
      <c r="D3" s="9"/>
      <c r="E3" s="9"/>
      <c r="F3" s="9"/>
      <c r="G3" s="9"/>
      <c r="H3" s="9"/>
      <c r="I3" s="9"/>
      <c r="J3" s="9"/>
      <c r="K3" s="9"/>
      <c r="L3" s="9"/>
      <c r="M3" s="9"/>
      <c r="O3" s="9"/>
      <c r="P3" s="9"/>
      <c r="Q3" s="9"/>
      <c r="R3" s="9"/>
    </row>
    <row r="4" spans="1:18" s="15" customFormat="1" ht="12">
      <c r="A4" s="171" t="s">
        <v>248</v>
      </c>
      <c r="B4" s="171"/>
      <c r="C4" s="14" t="s">
        <v>190</v>
      </c>
      <c r="D4" s="9"/>
      <c r="E4" s="9"/>
      <c r="F4" s="9"/>
      <c r="G4" s="9"/>
      <c r="H4" s="9"/>
      <c r="I4" s="9"/>
      <c r="J4" s="9"/>
      <c r="K4" s="9"/>
      <c r="L4" s="9"/>
      <c r="M4" s="9"/>
      <c r="O4" s="9"/>
      <c r="P4" s="9"/>
      <c r="Q4" s="9"/>
      <c r="R4" s="9"/>
    </row>
    <row r="5" spans="1:18" s="15" customFormat="1" ht="12">
      <c r="A5" s="171" t="s">
        <v>7</v>
      </c>
      <c r="B5" s="171"/>
      <c r="C5" s="93" t="s">
        <v>161</v>
      </c>
      <c r="D5" s="9"/>
      <c r="E5" s="9"/>
      <c r="F5" s="9"/>
      <c r="G5" s="9"/>
      <c r="H5" s="9"/>
      <c r="I5" s="9"/>
      <c r="J5" s="9"/>
      <c r="K5" s="9"/>
      <c r="L5" s="9"/>
      <c r="M5" s="9"/>
      <c r="O5" s="9"/>
      <c r="P5" s="9"/>
      <c r="Q5" s="9"/>
      <c r="R5" s="9"/>
    </row>
    <row r="6" spans="1:18" s="15" customFormat="1" ht="12.6" thickBot="1">
      <c r="A6" s="172" t="s">
        <v>9</v>
      </c>
      <c r="B6" s="172"/>
      <c r="C6" s="17" t="s">
        <v>10</v>
      </c>
      <c r="D6" s="18"/>
      <c r="E6" s="18"/>
      <c r="F6" s="18"/>
      <c r="G6" s="18"/>
      <c r="H6" s="18"/>
      <c r="I6" s="18"/>
      <c r="J6" s="18"/>
      <c r="K6" s="18"/>
      <c r="L6" s="18"/>
      <c r="M6" s="18"/>
      <c r="N6" s="17"/>
      <c r="O6" s="18"/>
      <c r="P6" s="18"/>
      <c r="Q6" s="18"/>
      <c r="R6" s="18"/>
    </row>
    <row r="7" spans="1:18" s="15" customFormat="1" ht="12">
      <c r="A7" s="173"/>
      <c r="B7" s="173"/>
      <c r="D7" s="9"/>
      <c r="E7" s="9"/>
      <c r="F7" s="9"/>
      <c r="G7" s="9"/>
      <c r="H7" s="9"/>
      <c r="I7" s="9"/>
      <c r="J7" s="9"/>
      <c r="K7" s="9"/>
      <c r="L7" s="9"/>
      <c r="M7" s="9"/>
      <c r="O7" s="9"/>
      <c r="P7" s="9"/>
      <c r="Q7" s="9"/>
      <c r="R7" s="9"/>
    </row>
    <row r="8" spans="1:18" s="15" customFormat="1">
      <c r="A8" s="169" t="s">
        <v>11</v>
      </c>
      <c r="B8" s="169"/>
      <c r="C8" s="22" t="s">
        <v>12</v>
      </c>
      <c r="D8" s="24"/>
      <c r="E8" s="9"/>
      <c r="F8" s="9"/>
      <c r="G8" s="9"/>
      <c r="H8" s="9"/>
      <c r="I8" s="9"/>
      <c r="J8" s="9"/>
      <c r="K8" s="9"/>
      <c r="L8" s="9"/>
      <c r="M8" s="9"/>
      <c r="O8" s="9"/>
      <c r="P8" s="9"/>
      <c r="Q8" s="9"/>
      <c r="R8" s="9"/>
    </row>
    <row r="9" spans="1:18" s="15" customFormat="1" ht="12">
      <c r="A9" s="168" t="s">
        <v>13</v>
      </c>
      <c r="B9" s="168"/>
      <c r="C9" s="27" t="s">
        <v>249</v>
      </c>
      <c r="D9" s="24"/>
      <c r="E9" s="9"/>
      <c r="F9" s="9"/>
      <c r="G9" s="9"/>
      <c r="H9" s="9"/>
      <c r="I9" s="9"/>
      <c r="J9" s="9"/>
      <c r="K9" s="9"/>
      <c r="L9" s="9"/>
      <c r="M9" s="9"/>
      <c r="O9" s="9"/>
      <c r="P9" s="9"/>
      <c r="Q9" s="9"/>
      <c r="R9" s="9"/>
    </row>
    <row r="10" spans="1:18" s="15" customFormat="1" ht="12">
      <c r="A10" s="51"/>
      <c r="B10" s="51"/>
      <c r="D10" s="9"/>
      <c r="E10" s="9"/>
      <c r="F10" s="9"/>
      <c r="G10" s="9"/>
      <c r="H10" s="9"/>
      <c r="I10" s="9"/>
      <c r="J10" s="9"/>
      <c r="K10" s="9"/>
      <c r="L10" s="9"/>
      <c r="M10" s="9"/>
      <c r="O10" s="9"/>
      <c r="P10" s="9"/>
      <c r="Q10" s="9"/>
      <c r="R10" s="9"/>
    </row>
    <row r="11" spans="1:18" s="49" customFormat="1">
      <c r="A11" s="59" t="s">
        <v>15</v>
      </c>
      <c r="B11" s="31" t="s">
        <v>16</v>
      </c>
      <c r="C11" s="60" t="s">
        <v>17</v>
      </c>
      <c r="D11" s="31" t="s">
        <v>18</v>
      </c>
      <c r="E11" s="31" t="s">
        <v>19</v>
      </c>
      <c r="F11" s="31" t="s">
        <v>20</v>
      </c>
      <c r="G11" s="31" t="s">
        <v>21</v>
      </c>
      <c r="H11" s="31" t="s">
        <v>22</v>
      </c>
      <c r="I11" s="31" t="s">
        <v>23</v>
      </c>
      <c r="J11" s="31" t="s">
        <v>24</v>
      </c>
      <c r="K11" s="31" t="s">
        <v>25</v>
      </c>
      <c r="L11" s="31" t="s">
        <v>26</v>
      </c>
      <c r="M11" s="31" t="s">
        <v>27</v>
      </c>
      <c r="N11" s="31" t="s">
        <v>28</v>
      </c>
      <c r="O11" s="31" t="s">
        <v>29</v>
      </c>
      <c r="P11" s="31" t="s">
        <v>30</v>
      </c>
      <c r="Q11" s="31" t="s">
        <v>31</v>
      </c>
      <c r="R11" s="31" t="s">
        <v>32</v>
      </c>
    </row>
    <row r="12" spans="1:18">
      <c r="A12" s="61">
        <v>1778742631838</v>
      </c>
      <c r="B12" s="34">
        <v>3509</v>
      </c>
      <c r="C12" s="6" t="s">
        <v>33</v>
      </c>
      <c r="D12" s="34">
        <v>200</v>
      </c>
      <c r="E12" s="34" t="s">
        <v>34</v>
      </c>
      <c r="F12" s="34" t="s">
        <v>35</v>
      </c>
      <c r="G12" s="34" t="s">
        <v>36</v>
      </c>
      <c r="H12" s="34" t="b">
        <v>1</v>
      </c>
      <c r="I12" s="34"/>
      <c r="J12" s="34">
        <v>206</v>
      </c>
      <c r="K12" s="34">
        <v>450</v>
      </c>
      <c r="L12" s="34">
        <v>1</v>
      </c>
      <c r="M12" s="34">
        <v>1</v>
      </c>
      <c r="N12" s="6" t="s">
        <v>37</v>
      </c>
      <c r="O12" s="34">
        <v>3505</v>
      </c>
      <c r="P12" s="34">
        <v>0</v>
      </c>
      <c r="Q12" s="34">
        <v>1</v>
      </c>
      <c r="R12" s="61"/>
    </row>
    <row r="13" spans="1:18">
      <c r="A13" s="61">
        <v>1778742635347</v>
      </c>
      <c r="B13" s="34">
        <v>167</v>
      </c>
      <c r="C13" s="6" t="s">
        <v>38</v>
      </c>
      <c r="D13" s="34">
        <v>200</v>
      </c>
      <c r="E13" s="34" t="s">
        <v>34</v>
      </c>
      <c r="F13" s="34" t="s">
        <v>35</v>
      </c>
      <c r="G13" s="34" t="s">
        <v>36</v>
      </c>
      <c r="H13" s="34" t="b">
        <v>1</v>
      </c>
      <c r="I13" s="34"/>
      <c r="J13" s="34">
        <v>613</v>
      </c>
      <c r="K13" s="34">
        <v>344</v>
      </c>
      <c r="L13" s="34">
        <v>1</v>
      </c>
      <c r="M13" s="34">
        <v>1</v>
      </c>
      <c r="N13" s="6" t="s">
        <v>37</v>
      </c>
      <c r="O13" s="34">
        <v>167</v>
      </c>
      <c r="P13" s="34">
        <v>0</v>
      </c>
      <c r="Q13" s="34">
        <v>0</v>
      </c>
      <c r="R13" s="61"/>
    </row>
    <row r="14" spans="1:18">
      <c r="A14" s="61">
        <v>1778742635599</v>
      </c>
      <c r="B14" s="34">
        <v>163</v>
      </c>
      <c r="C14" s="6" t="s">
        <v>39</v>
      </c>
      <c r="D14" s="34">
        <v>200</v>
      </c>
      <c r="E14" s="34" t="s">
        <v>34</v>
      </c>
      <c r="F14" s="34" t="s">
        <v>35</v>
      </c>
      <c r="G14" s="34" t="s">
        <v>36</v>
      </c>
      <c r="H14" s="34" t="b">
        <v>1</v>
      </c>
      <c r="I14" s="34"/>
      <c r="J14" s="34">
        <v>245</v>
      </c>
      <c r="K14" s="34">
        <v>386</v>
      </c>
      <c r="L14" s="34">
        <v>1</v>
      </c>
      <c r="M14" s="34">
        <v>1</v>
      </c>
      <c r="N14" s="6" t="s">
        <v>37</v>
      </c>
      <c r="O14" s="34">
        <v>163</v>
      </c>
      <c r="P14" s="34">
        <v>0</v>
      </c>
      <c r="Q14" s="34">
        <v>0</v>
      </c>
      <c r="R14" s="61"/>
    </row>
    <row r="15" spans="1:18" ht="15" thickBot="1">
      <c r="A15" s="62">
        <v>1778742635763</v>
      </c>
      <c r="B15" s="39">
        <v>154</v>
      </c>
      <c r="C15" s="63" t="s">
        <v>40</v>
      </c>
      <c r="D15" s="39">
        <v>200</v>
      </c>
      <c r="E15" s="39" t="s">
        <v>34</v>
      </c>
      <c r="F15" s="39" t="s">
        <v>35</v>
      </c>
      <c r="G15" s="39" t="s">
        <v>36</v>
      </c>
      <c r="H15" s="39" t="b">
        <v>1</v>
      </c>
      <c r="I15" s="39"/>
      <c r="J15" s="39">
        <v>385</v>
      </c>
      <c r="K15" s="39">
        <v>370</v>
      </c>
      <c r="L15" s="39">
        <v>1</v>
      </c>
      <c r="M15" s="39">
        <v>1</v>
      </c>
      <c r="N15" s="63" t="s">
        <v>37</v>
      </c>
      <c r="O15" s="39">
        <v>154</v>
      </c>
      <c r="P15" s="39">
        <v>0</v>
      </c>
      <c r="Q15" s="39">
        <v>0</v>
      </c>
      <c r="R15" s="62"/>
    </row>
    <row r="17" spans="1:18" s="15" customFormat="1">
      <c r="A17" s="169" t="s">
        <v>41</v>
      </c>
      <c r="B17" s="169"/>
      <c r="C17" s="22" t="s">
        <v>42</v>
      </c>
      <c r="D17" s="24"/>
      <c r="E17" s="9"/>
      <c r="F17" s="9"/>
      <c r="G17" s="9"/>
      <c r="H17" s="9"/>
      <c r="I17" s="9"/>
      <c r="J17" s="9"/>
      <c r="K17" s="9"/>
      <c r="L17" s="9"/>
      <c r="M17" s="9"/>
      <c r="O17" s="9"/>
      <c r="P17" s="9"/>
      <c r="Q17" s="9"/>
      <c r="R17" s="9"/>
    </row>
    <row r="18" spans="1:18" s="15" customFormat="1" ht="12">
      <c r="A18" s="168" t="s">
        <v>13</v>
      </c>
      <c r="B18" s="168"/>
      <c r="C18" s="27"/>
      <c r="D18" s="24"/>
      <c r="E18" s="9"/>
      <c r="F18" s="9"/>
      <c r="G18" s="9"/>
      <c r="H18" s="9"/>
      <c r="I18" s="9"/>
      <c r="J18" s="9"/>
      <c r="K18" s="9"/>
      <c r="L18" s="9"/>
      <c r="M18" s="9"/>
      <c r="O18" s="9"/>
      <c r="P18" s="9"/>
      <c r="Q18" s="9"/>
      <c r="R18" s="9"/>
    </row>
    <row r="19" spans="1:18" s="15" customFormat="1" ht="12">
      <c r="A19" s="51"/>
      <c r="B19" s="51"/>
      <c r="D19" s="9"/>
      <c r="E19" s="9"/>
      <c r="F19" s="9"/>
      <c r="G19" s="9"/>
      <c r="H19" s="9"/>
      <c r="I19" s="9"/>
      <c r="J19" s="9"/>
      <c r="K19" s="9"/>
      <c r="L19" s="9"/>
      <c r="M19" s="9"/>
      <c r="O19" s="9"/>
      <c r="P19" s="9"/>
      <c r="Q19" s="9"/>
      <c r="R19" s="9"/>
    </row>
    <row r="20" spans="1:18" s="49" customFormat="1">
      <c r="A20" s="59" t="s">
        <v>15</v>
      </c>
      <c r="B20" s="31" t="s">
        <v>16</v>
      </c>
      <c r="C20" s="60" t="s">
        <v>17</v>
      </c>
      <c r="D20" s="31" t="s">
        <v>18</v>
      </c>
      <c r="E20" s="31" t="s">
        <v>19</v>
      </c>
      <c r="F20" s="31" t="s">
        <v>20</v>
      </c>
      <c r="G20" s="31" t="s">
        <v>21</v>
      </c>
      <c r="H20" s="31" t="s">
        <v>22</v>
      </c>
      <c r="I20" s="31" t="s">
        <v>23</v>
      </c>
      <c r="J20" s="31" t="s">
        <v>24</v>
      </c>
      <c r="K20" s="31" t="s">
        <v>25</v>
      </c>
      <c r="L20" s="31" t="s">
        <v>26</v>
      </c>
      <c r="M20" s="31" t="s">
        <v>27</v>
      </c>
      <c r="N20" s="31" t="s">
        <v>28</v>
      </c>
      <c r="O20" s="31" t="s">
        <v>29</v>
      </c>
      <c r="P20" s="31" t="s">
        <v>30</v>
      </c>
      <c r="Q20" s="31" t="s">
        <v>31</v>
      </c>
      <c r="R20" s="31" t="s">
        <v>32</v>
      </c>
    </row>
    <row r="21" spans="1:18">
      <c r="A21" s="61">
        <v>1778742952583</v>
      </c>
      <c r="B21" s="34">
        <v>826</v>
      </c>
      <c r="C21" s="6" t="s">
        <v>33</v>
      </c>
      <c r="D21" s="34">
        <v>200</v>
      </c>
      <c r="E21" s="34" t="s">
        <v>34</v>
      </c>
      <c r="F21" s="34" t="s">
        <v>35</v>
      </c>
      <c r="G21" s="34" t="s">
        <v>36</v>
      </c>
      <c r="H21" s="34" t="b">
        <v>1</v>
      </c>
      <c r="I21" s="34"/>
      <c r="J21" s="34">
        <v>206</v>
      </c>
      <c r="K21" s="34">
        <v>451</v>
      </c>
      <c r="L21" s="34">
        <v>1</v>
      </c>
      <c r="M21" s="34">
        <v>1</v>
      </c>
      <c r="N21" s="6" t="s">
        <v>37</v>
      </c>
      <c r="O21" s="34">
        <v>826</v>
      </c>
      <c r="P21" s="34">
        <v>0</v>
      </c>
      <c r="Q21" s="34">
        <v>1</v>
      </c>
      <c r="R21" s="61"/>
    </row>
    <row r="22" spans="1:18">
      <c r="A22" s="61">
        <v>1778742953410</v>
      </c>
      <c r="B22" s="34">
        <v>158</v>
      </c>
      <c r="C22" s="6" t="s">
        <v>38</v>
      </c>
      <c r="D22" s="34">
        <v>200</v>
      </c>
      <c r="E22" s="34" t="s">
        <v>34</v>
      </c>
      <c r="F22" s="34" t="s">
        <v>35</v>
      </c>
      <c r="G22" s="34" t="s">
        <v>36</v>
      </c>
      <c r="H22" s="34" t="b">
        <v>1</v>
      </c>
      <c r="I22" s="34"/>
      <c r="J22" s="34">
        <v>981</v>
      </c>
      <c r="K22" s="34">
        <v>344</v>
      </c>
      <c r="L22" s="34">
        <v>1</v>
      </c>
      <c r="M22" s="34">
        <v>1</v>
      </c>
      <c r="N22" s="6" t="s">
        <v>37</v>
      </c>
      <c r="O22" s="34">
        <v>158</v>
      </c>
      <c r="P22" s="34">
        <v>0</v>
      </c>
      <c r="Q22" s="34">
        <v>0</v>
      </c>
      <c r="R22" s="61"/>
    </row>
    <row r="23" spans="1:18">
      <c r="A23" s="61">
        <v>1778742953605</v>
      </c>
      <c r="B23" s="34">
        <v>153</v>
      </c>
      <c r="C23" s="6" t="s">
        <v>39</v>
      </c>
      <c r="D23" s="34">
        <v>200</v>
      </c>
      <c r="E23" s="34" t="s">
        <v>34</v>
      </c>
      <c r="F23" s="34" t="s">
        <v>35</v>
      </c>
      <c r="G23" s="34" t="s">
        <v>36</v>
      </c>
      <c r="H23" s="34" t="b">
        <v>1</v>
      </c>
      <c r="I23" s="34"/>
      <c r="J23" s="34">
        <v>250</v>
      </c>
      <c r="K23" s="34">
        <v>386</v>
      </c>
      <c r="L23" s="34">
        <v>1</v>
      </c>
      <c r="M23" s="34">
        <v>1</v>
      </c>
      <c r="N23" s="6" t="s">
        <v>37</v>
      </c>
      <c r="O23" s="34">
        <v>153</v>
      </c>
      <c r="P23" s="34">
        <v>0</v>
      </c>
      <c r="Q23" s="34">
        <v>0</v>
      </c>
      <c r="R23" s="61"/>
    </row>
    <row r="24" spans="1:18" ht="15" thickBot="1">
      <c r="A24" s="62">
        <v>1778742953758</v>
      </c>
      <c r="B24" s="39">
        <v>149</v>
      </c>
      <c r="C24" s="63" t="s">
        <v>40</v>
      </c>
      <c r="D24" s="39">
        <v>200</v>
      </c>
      <c r="E24" s="39" t="s">
        <v>34</v>
      </c>
      <c r="F24" s="39" t="s">
        <v>35</v>
      </c>
      <c r="G24" s="39" t="s">
        <v>36</v>
      </c>
      <c r="H24" s="39" t="b">
        <v>1</v>
      </c>
      <c r="I24" s="39"/>
      <c r="J24" s="39">
        <v>559</v>
      </c>
      <c r="K24" s="39">
        <v>369</v>
      </c>
      <c r="L24" s="39">
        <v>1</v>
      </c>
      <c r="M24" s="39">
        <v>1</v>
      </c>
      <c r="N24" s="63" t="s">
        <v>37</v>
      </c>
      <c r="O24" s="39">
        <v>149</v>
      </c>
      <c r="P24" s="39">
        <v>0</v>
      </c>
      <c r="Q24" s="39">
        <v>0</v>
      </c>
      <c r="R24" s="62"/>
    </row>
    <row r="26" spans="1:18">
      <c r="A26" s="169" t="s">
        <v>43</v>
      </c>
      <c r="B26" s="169"/>
      <c r="C26" s="22" t="s">
        <v>44</v>
      </c>
      <c r="D26" s="24"/>
      <c r="E26" s="9"/>
      <c r="F26" s="9"/>
      <c r="G26" s="9"/>
      <c r="H26" s="9"/>
      <c r="I26" s="9"/>
      <c r="J26" s="9"/>
      <c r="K26" s="9"/>
      <c r="L26" s="9"/>
      <c r="M26" s="9"/>
      <c r="N26" s="15"/>
      <c r="O26" s="9"/>
      <c r="P26" s="9"/>
      <c r="Q26" s="9"/>
      <c r="R26" s="9"/>
    </row>
    <row r="27" spans="1:18">
      <c r="A27" s="168" t="s">
        <v>13</v>
      </c>
      <c r="B27" s="168"/>
      <c r="C27" s="58" t="s">
        <v>192</v>
      </c>
      <c r="D27" s="24"/>
      <c r="E27" s="9"/>
      <c r="F27" s="9"/>
      <c r="G27" s="9"/>
      <c r="H27" s="9"/>
      <c r="I27" s="9"/>
      <c r="J27" s="9"/>
      <c r="K27" s="9"/>
      <c r="L27" s="9"/>
      <c r="M27" s="9"/>
      <c r="N27" s="15"/>
      <c r="O27" s="9"/>
      <c r="P27" s="9"/>
      <c r="Q27" s="9"/>
      <c r="R27" s="9"/>
    </row>
    <row r="28" spans="1:18">
      <c r="A28" s="64"/>
      <c r="B28" s="64"/>
      <c r="D28" s="9"/>
      <c r="E28" s="9"/>
      <c r="F28" s="9"/>
      <c r="G28" s="9"/>
      <c r="H28" s="9"/>
      <c r="I28" s="9"/>
      <c r="J28" s="9"/>
      <c r="K28" s="9"/>
      <c r="L28" s="9"/>
      <c r="M28" s="9"/>
      <c r="N28" s="15"/>
      <c r="O28" s="9"/>
      <c r="P28" s="9"/>
      <c r="Q28" s="9"/>
      <c r="R28" s="9"/>
    </row>
    <row r="29" spans="1:18">
      <c r="A29" s="59" t="s">
        <v>15</v>
      </c>
      <c r="B29" s="31" t="s">
        <v>16</v>
      </c>
      <c r="C29" s="60" t="s">
        <v>17</v>
      </c>
      <c r="D29" s="31" t="s">
        <v>18</v>
      </c>
      <c r="E29" s="31" t="s">
        <v>19</v>
      </c>
      <c r="F29" s="31" t="s">
        <v>20</v>
      </c>
      <c r="G29" s="31" t="s">
        <v>21</v>
      </c>
      <c r="H29" s="31" t="s">
        <v>22</v>
      </c>
      <c r="I29" s="31" t="s">
        <v>23</v>
      </c>
      <c r="J29" s="31" t="s">
        <v>24</v>
      </c>
      <c r="K29" s="31" t="s">
        <v>25</v>
      </c>
      <c r="L29" s="31" t="s">
        <v>26</v>
      </c>
      <c r="M29" s="31" t="s">
        <v>27</v>
      </c>
      <c r="N29" s="31" t="s">
        <v>28</v>
      </c>
      <c r="O29" s="31" t="s">
        <v>29</v>
      </c>
      <c r="P29" s="31" t="s">
        <v>30</v>
      </c>
      <c r="Q29" s="31" t="s">
        <v>31</v>
      </c>
      <c r="R29" s="31" t="s">
        <v>32</v>
      </c>
    </row>
    <row r="30" spans="1:18">
      <c r="A30" s="61">
        <v>1778743228470</v>
      </c>
      <c r="B30" s="34">
        <v>995</v>
      </c>
      <c r="C30" s="6" t="s">
        <v>33</v>
      </c>
      <c r="D30" s="34">
        <v>200</v>
      </c>
      <c r="E30" s="34" t="s">
        <v>34</v>
      </c>
      <c r="F30" s="34" t="s">
        <v>35</v>
      </c>
      <c r="G30" s="34" t="s">
        <v>36</v>
      </c>
      <c r="H30" s="34" t="b">
        <v>1</v>
      </c>
      <c r="I30" s="34"/>
      <c r="J30" s="34">
        <v>206</v>
      </c>
      <c r="K30" s="34">
        <v>453</v>
      </c>
      <c r="L30" s="34">
        <v>1</v>
      </c>
      <c r="M30" s="34">
        <v>1</v>
      </c>
      <c r="N30" s="6" t="s">
        <v>37</v>
      </c>
      <c r="O30" s="34">
        <v>995</v>
      </c>
      <c r="P30" s="34">
        <v>0</v>
      </c>
      <c r="Q30" s="34">
        <v>2</v>
      </c>
      <c r="R30" s="61"/>
    </row>
    <row r="31" spans="1:18">
      <c r="A31" s="61">
        <v>1778743229466</v>
      </c>
      <c r="B31" s="34">
        <v>154</v>
      </c>
      <c r="C31" s="6" t="s">
        <v>38</v>
      </c>
      <c r="D31" s="34">
        <v>200</v>
      </c>
      <c r="E31" s="34" t="s">
        <v>34</v>
      </c>
      <c r="F31" s="34" t="s">
        <v>35</v>
      </c>
      <c r="G31" s="34" t="s">
        <v>36</v>
      </c>
      <c r="H31" s="34" t="b">
        <v>1</v>
      </c>
      <c r="I31" s="34"/>
      <c r="J31" s="34">
        <v>1355</v>
      </c>
      <c r="K31" s="34">
        <v>344</v>
      </c>
      <c r="L31" s="34">
        <v>1</v>
      </c>
      <c r="M31" s="34">
        <v>1</v>
      </c>
      <c r="N31" s="6" t="s">
        <v>37</v>
      </c>
      <c r="O31" s="34">
        <v>154</v>
      </c>
      <c r="P31" s="34">
        <v>0</v>
      </c>
      <c r="Q31" s="34">
        <v>0</v>
      </c>
      <c r="R31" s="61"/>
    </row>
    <row r="32" spans="1:18">
      <c r="A32" s="61">
        <v>1778743229642</v>
      </c>
      <c r="B32" s="34">
        <v>150</v>
      </c>
      <c r="C32" s="6" t="s">
        <v>39</v>
      </c>
      <c r="D32" s="34">
        <v>200</v>
      </c>
      <c r="E32" s="34" t="s">
        <v>34</v>
      </c>
      <c r="F32" s="34" t="s">
        <v>35</v>
      </c>
      <c r="G32" s="34" t="s">
        <v>36</v>
      </c>
      <c r="H32" s="34" t="b">
        <v>1</v>
      </c>
      <c r="I32" s="34"/>
      <c r="J32" s="34">
        <v>245</v>
      </c>
      <c r="K32" s="34">
        <v>386</v>
      </c>
      <c r="L32" s="34">
        <v>1</v>
      </c>
      <c r="M32" s="34">
        <v>1</v>
      </c>
      <c r="N32" s="6" t="s">
        <v>37</v>
      </c>
      <c r="O32" s="34">
        <v>149</v>
      </c>
      <c r="P32" s="34">
        <v>0</v>
      </c>
      <c r="Q32" s="34">
        <v>0</v>
      </c>
      <c r="R32" s="61"/>
    </row>
    <row r="33" spans="1:18" ht="15" thickBot="1">
      <c r="A33" s="62">
        <v>1778743229792</v>
      </c>
      <c r="B33" s="39">
        <v>157</v>
      </c>
      <c r="C33" s="63" t="s">
        <v>40</v>
      </c>
      <c r="D33" s="39">
        <v>200</v>
      </c>
      <c r="E33" s="39" t="s">
        <v>34</v>
      </c>
      <c r="F33" s="39" t="s">
        <v>35</v>
      </c>
      <c r="G33" s="39" t="s">
        <v>36</v>
      </c>
      <c r="H33" s="39" t="b">
        <v>1</v>
      </c>
      <c r="I33" s="39"/>
      <c r="J33" s="39">
        <v>410</v>
      </c>
      <c r="K33" s="39">
        <v>369</v>
      </c>
      <c r="L33" s="39">
        <v>1</v>
      </c>
      <c r="M33" s="39">
        <v>1</v>
      </c>
      <c r="N33" s="63" t="s">
        <v>37</v>
      </c>
      <c r="O33" s="39">
        <v>157</v>
      </c>
      <c r="P33" s="39">
        <v>0</v>
      </c>
      <c r="Q33" s="39">
        <v>0</v>
      </c>
      <c r="R33" s="62"/>
    </row>
    <row r="35" spans="1:18">
      <c r="A35" s="169" t="s">
        <v>46</v>
      </c>
      <c r="B35" s="169"/>
      <c r="C35" s="22" t="s">
        <v>47</v>
      </c>
      <c r="D35" s="24"/>
      <c r="E35" s="9"/>
      <c r="F35" s="9"/>
      <c r="G35" s="9"/>
      <c r="H35" s="9"/>
      <c r="I35" s="9"/>
      <c r="J35" s="9"/>
      <c r="K35" s="9"/>
      <c r="L35" s="9"/>
      <c r="M35" s="9"/>
      <c r="N35" s="15"/>
      <c r="O35" s="9"/>
      <c r="P35" s="9"/>
      <c r="Q35" s="9"/>
      <c r="R35" s="9"/>
    </row>
    <row r="36" spans="1:18">
      <c r="A36" s="168" t="s">
        <v>13</v>
      </c>
      <c r="B36" s="168"/>
      <c r="C36" s="58" t="s">
        <v>194</v>
      </c>
      <c r="D36" s="24"/>
      <c r="E36" s="9"/>
      <c r="F36" s="9"/>
      <c r="G36" s="9"/>
      <c r="H36" s="9"/>
      <c r="I36" s="9"/>
      <c r="J36" s="9"/>
      <c r="K36" s="9"/>
      <c r="L36" s="9"/>
      <c r="M36" s="9"/>
      <c r="N36" s="15"/>
      <c r="O36" s="9"/>
      <c r="P36" s="9"/>
      <c r="Q36" s="9"/>
      <c r="R36" s="9"/>
    </row>
    <row r="37" spans="1:18">
      <c r="A37" s="64"/>
      <c r="B37" s="64"/>
      <c r="D37" s="9"/>
      <c r="E37" s="9"/>
      <c r="F37" s="9"/>
      <c r="G37" s="9"/>
      <c r="H37" s="9"/>
      <c r="I37" s="9"/>
      <c r="J37" s="9"/>
      <c r="K37" s="9"/>
      <c r="L37" s="9"/>
      <c r="M37" s="9"/>
      <c r="N37" s="15"/>
      <c r="O37" s="9"/>
      <c r="P37" s="9"/>
      <c r="Q37" s="9"/>
      <c r="R37" s="9"/>
    </row>
    <row r="38" spans="1:18">
      <c r="A38" s="59" t="s">
        <v>15</v>
      </c>
      <c r="B38" s="31" t="s">
        <v>16</v>
      </c>
      <c r="C38" s="60" t="s">
        <v>17</v>
      </c>
      <c r="D38" s="31" t="s">
        <v>18</v>
      </c>
      <c r="E38" s="31" t="s">
        <v>19</v>
      </c>
      <c r="F38" s="31" t="s">
        <v>20</v>
      </c>
      <c r="G38" s="31" t="s">
        <v>21</v>
      </c>
      <c r="H38" s="31" t="s">
        <v>22</v>
      </c>
      <c r="I38" s="31" t="s">
        <v>23</v>
      </c>
      <c r="J38" s="31" t="s">
        <v>24</v>
      </c>
      <c r="K38" s="31" t="s">
        <v>25</v>
      </c>
      <c r="L38" s="31" t="s">
        <v>26</v>
      </c>
      <c r="M38" s="31" t="s">
        <v>27</v>
      </c>
      <c r="N38" s="31" t="s">
        <v>28</v>
      </c>
      <c r="O38" s="31" t="s">
        <v>29</v>
      </c>
      <c r="P38" s="31" t="s">
        <v>30</v>
      </c>
      <c r="Q38" s="31" t="s">
        <v>31</v>
      </c>
      <c r="R38" s="31" t="s">
        <v>32</v>
      </c>
    </row>
    <row r="39" spans="1:18">
      <c r="A39" s="61">
        <v>1778743508906</v>
      </c>
      <c r="B39" s="34">
        <v>1562</v>
      </c>
      <c r="C39" s="6" t="s">
        <v>33</v>
      </c>
      <c r="D39" s="34">
        <v>200</v>
      </c>
      <c r="E39" s="34" t="s">
        <v>34</v>
      </c>
      <c r="F39" s="34" t="s">
        <v>35</v>
      </c>
      <c r="G39" s="34" t="s">
        <v>36</v>
      </c>
      <c r="H39" s="34" t="b">
        <v>1</v>
      </c>
      <c r="I39" s="34"/>
      <c r="J39" s="34">
        <v>206</v>
      </c>
      <c r="K39" s="34">
        <v>453</v>
      </c>
      <c r="L39" s="34">
        <v>1</v>
      </c>
      <c r="M39" s="34">
        <v>1</v>
      </c>
      <c r="N39" s="6" t="s">
        <v>37</v>
      </c>
      <c r="O39" s="34">
        <v>1562</v>
      </c>
      <c r="P39" s="34">
        <v>0</v>
      </c>
      <c r="Q39" s="34">
        <v>2</v>
      </c>
      <c r="R39" s="61"/>
    </row>
    <row r="40" spans="1:18">
      <c r="A40" s="61">
        <v>1778743510469</v>
      </c>
      <c r="B40" s="34">
        <v>147</v>
      </c>
      <c r="C40" s="6" t="s">
        <v>38</v>
      </c>
      <c r="D40" s="34">
        <v>200</v>
      </c>
      <c r="E40" s="34" t="s">
        <v>34</v>
      </c>
      <c r="F40" s="34" t="s">
        <v>35</v>
      </c>
      <c r="G40" s="34" t="s">
        <v>36</v>
      </c>
      <c r="H40" s="34" t="b">
        <v>1</v>
      </c>
      <c r="I40" s="34"/>
      <c r="J40" s="34">
        <v>1729</v>
      </c>
      <c r="K40" s="34">
        <v>344</v>
      </c>
      <c r="L40" s="34">
        <v>1</v>
      </c>
      <c r="M40" s="34">
        <v>1</v>
      </c>
      <c r="N40" s="6" t="s">
        <v>37</v>
      </c>
      <c r="O40" s="34">
        <v>147</v>
      </c>
      <c r="P40" s="34">
        <v>0</v>
      </c>
      <c r="Q40" s="34">
        <v>0</v>
      </c>
      <c r="R40" s="61"/>
    </row>
    <row r="41" spans="1:18">
      <c r="A41" s="61">
        <v>1778743510649</v>
      </c>
      <c r="B41" s="34">
        <v>155</v>
      </c>
      <c r="C41" s="6" t="s">
        <v>39</v>
      </c>
      <c r="D41" s="34">
        <v>200</v>
      </c>
      <c r="E41" s="34" t="s">
        <v>34</v>
      </c>
      <c r="F41" s="34" t="s">
        <v>35</v>
      </c>
      <c r="G41" s="34" t="s">
        <v>36</v>
      </c>
      <c r="H41" s="34" t="b">
        <v>1</v>
      </c>
      <c r="I41" s="34"/>
      <c r="J41" s="34">
        <v>263</v>
      </c>
      <c r="K41" s="34">
        <v>386</v>
      </c>
      <c r="L41" s="34">
        <v>1</v>
      </c>
      <c r="M41" s="34">
        <v>1</v>
      </c>
      <c r="N41" s="6" t="s">
        <v>37</v>
      </c>
      <c r="O41" s="34">
        <v>155</v>
      </c>
      <c r="P41" s="34">
        <v>0</v>
      </c>
      <c r="Q41" s="34">
        <v>0</v>
      </c>
      <c r="R41" s="61"/>
    </row>
    <row r="42" spans="1:18" ht="15" thickBot="1">
      <c r="A42" s="62">
        <v>1778743510805</v>
      </c>
      <c r="B42" s="39">
        <v>164</v>
      </c>
      <c r="C42" s="63" t="s">
        <v>40</v>
      </c>
      <c r="D42" s="39">
        <v>200</v>
      </c>
      <c r="E42" s="39" t="s">
        <v>34</v>
      </c>
      <c r="F42" s="39" t="s">
        <v>35</v>
      </c>
      <c r="G42" s="39" t="s">
        <v>36</v>
      </c>
      <c r="H42" s="39" t="b">
        <v>1</v>
      </c>
      <c r="I42" s="39"/>
      <c r="J42" s="39">
        <v>319</v>
      </c>
      <c r="K42" s="39">
        <v>370</v>
      </c>
      <c r="L42" s="39">
        <v>1</v>
      </c>
      <c r="M42" s="39">
        <v>1</v>
      </c>
      <c r="N42" s="63" t="s">
        <v>37</v>
      </c>
      <c r="O42" s="39">
        <v>164</v>
      </c>
      <c r="P42" s="39">
        <v>0</v>
      </c>
      <c r="Q42" s="39">
        <v>0</v>
      </c>
      <c r="R42" s="62"/>
    </row>
    <row r="44" spans="1:18">
      <c r="A44" s="169" t="s">
        <v>49</v>
      </c>
      <c r="B44" s="169"/>
      <c r="C44" s="22" t="s">
        <v>50</v>
      </c>
      <c r="D44" s="24"/>
      <c r="E44" s="9"/>
      <c r="F44" s="9"/>
      <c r="G44" s="9"/>
      <c r="H44" s="9"/>
      <c r="I44" s="9"/>
      <c r="J44" s="9"/>
      <c r="K44" s="9"/>
      <c r="L44" s="9"/>
      <c r="M44" s="9"/>
      <c r="N44" s="15"/>
      <c r="O44" s="9"/>
      <c r="P44" s="9"/>
      <c r="Q44" s="9"/>
      <c r="R44" s="9"/>
    </row>
    <row r="45" spans="1:18">
      <c r="A45" s="168" t="s">
        <v>13</v>
      </c>
      <c r="B45" s="168"/>
      <c r="C45" s="27" t="s">
        <v>195</v>
      </c>
      <c r="D45" s="24"/>
      <c r="E45" s="9"/>
      <c r="F45" s="9"/>
      <c r="G45" s="9"/>
      <c r="H45" s="9"/>
      <c r="I45" s="9"/>
      <c r="J45" s="9"/>
      <c r="K45" s="9"/>
      <c r="L45" s="9"/>
      <c r="M45" s="9"/>
      <c r="N45" s="15"/>
      <c r="O45" s="9"/>
      <c r="P45" s="9"/>
      <c r="Q45" s="9"/>
      <c r="R45" s="9"/>
    </row>
    <row r="46" spans="1:18">
      <c r="A46" s="64"/>
      <c r="B46" s="64"/>
      <c r="D46" s="9"/>
      <c r="E46" s="9"/>
      <c r="F46" s="9"/>
      <c r="G46" s="9"/>
      <c r="H46" s="9"/>
      <c r="I46" s="9"/>
      <c r="J46" s="9"/>
      <c r="K46" s="9"/>
      <c r="L46" s="9"/>
      <c r="M46" s="9"/>
      <c r="N46" s="15"/>
      <c r="O46" s="9"/>
      <c r="P46" s="9"/>
      <c r="Q46" s="9"/>
      <c r="R46" s="9"/>
    </row>
    <row r="47" spans="1:18">
      <c r="A47" s="59" t="s">
        <v>15</v>
      </c>
      <c r="B47" s="31" t="s">
        <v>16</v>
      </c>
      <c r="C47" s="60" t="s">
        <v>17</v>
      </c>
      <c r="D47" s="31" t="s">
        <v>18</v>
      </c>
      <c r="E47" s="31" t="s">
        <v>19</v>
      </c>
      <c r="F47" s="31" t="s">
        <v>20</v>
      </c>
      <c r="G47" s="31" t="s">
        <v>21</v>
      </c>
      <c r="H47" s="31" t="s">
        <v>22</v>
      </c>
      <c r="I47" s="31" t="s">
        <v>23</v>
      </c>
      <c r="J47" s="31" t="s">
        <v>24</v>
      </c>
      <c r="K47" s="31" t="s">
        <v>25</v>
      </c>
      <c r="L47" s="31" t="s">
        <v>26</v>
      </c>
      <c r="M47" s="31" t="s">
        <v>27</v>
      </c>
      <c r="N47" s="31" t="s">
        <v>28</v>
      </c>
      <c r="O47" s="31" t="s">
        <v>29</v>
      </c>
      <c r="P47" s="31" t="s">
        <v>30</v>
      </c>
      <c r="Q47" s="31" t="s">
        <v>31</v>
      </c>
      <c r="R47" s="31" t="s">
        <v>32</v>
      </c>
    </row>
    <row r="48" spans="1:18">
      <c r="A48" s="61">
        <v>1778743861177</v>
      </c>
      <c r="B48" s="34">
        <v>8598</v>
      </c>
      <c r="C48" s="6" t="s">
        <v>33</v>
      </c>
      <c r="D48" s="34">
        <v>200</v>
      </c>
      <c r="E48" s="34" t="s">
        <v>34</v>
      </c>
      <c r="F48" s="34" t="s">
        <v>35</v>
      </c>
      <c r="G48" s="34" t="s">
        <v>36</v>
      </c>
      <c r="H48" s="34" t="b">
        <v>1</v>
      </c>
      <c r="I48" s="34"/>
      <c r="J48" s="34">
        <v>206</v>
      </c>
      <c r="K48" s="34">
        <v>457</v>
      </c>
      <c r="L48" s="34">
        <v>1</v>
      </c>
      <c r="M48" s="34">
        <v>1</v>
      </c>
      <c r="N48" s="6" t="s">
        <v>37</v>
      </c>
      <c r="O48" s="34">
        <v>8598</v>
      </c>
      <c r="P48" s="34">
        <v>0</v>
      </c>
      <c r="Q48" s="34">
        <v>2</v>
      </c>
      <c r="R48" s="61"/>
    </row>
    <row r="49" spans="1:18">
      <c r="A49" s="61">
        <v>1778743869776</v>
      </c>
      <c r="B49" s="34">
        <v>181</v>
      </c>
      <c r="C49" s="6" t="s">
        <v>38</v>
      </c>
      <c r="D49" s="34">
        <v>200</v>
      </c>
      <c r="E49" s="34" t="s">
        <v>34</v>
      </c>
      <c r="F49" s="34" t="s">
        <v>35</v>
      </c>
      <c r="G49" s="34" t="s">
        <v>36</v>
      </c>
      <c r="H49" s="34" t="b">
        <v>1</v>
      </c>
      <c r="I49" s="34"/>
      <c r="J49" s="34">
        <v>2112</v>
      </c>
      <c r="K49" s="34">
        <v>344</v>
      </c>
      <c r="L49" s="34">
        <v>1</v>
      </c>
      <c r="M49" s="34">
        <v>1</v>
      </c>
      <c r="N49" s="6" t="s">
        <v>37</v>
      </c>
      <c r="O49" s="34">
        <v>181</v>
      </c>
      <c r="P49" s="34">
        <v>0</v>
      </c>
      <c r="Q49" s="34">
        <v>0</v>
      </c>
      <c r="R49" s="61"/>
    </row>
    <row r="50" spans="1:18">
      <c r="A50" s="61">
        <v>1778743869985</v>
      </c>
      <c r="B50" s="34">
        <v>169</v>
      </c>
      <c r="C50" s="6" t="s">
        <v>39</v>
      </c>
      <c r="D50" s="34">
        <v>200</v>
      </c>
      <c r="E50" s="34" t="s">
        <v>34</v>
      </c>
      <c r="F50" s="34" t="s">
        <v>35</v>
      </c>
      <c r="G50" s="34" t="s">
        <v>36</v>
      </c>
      <c r="H50" s="34" t="b">
        <v>1</v>
      </c>
      <c r="I50" s="34"/>
      <c r="J50" s="34">
        <v>287</v>
      </c>
      <c r="K50" s="34">
        <v>386</v>
      </c>
      <c r="L50" s="34">
        <v>1</v>
      </c>
      <c r="M50" s="34">
        <v>1</v>
      </c>
      <c r="N50" s="6" t="s">
        <v>37</v>
      </c>
      <c r="O50" s="34">
        <v>169</v>
      </c>
      <c r="P50" s="34">
        <v>0</v>
      </c>
      <c r="Q50" s="34">
        <v>0</v>
      </c>
      <c r="R50" s="61"/>
    </row>
    <row r="51" spans="1:18" ht="15" thickBot="1">
      <c r="A51" s="62">
        <v>1778743870155</v>
      </c>
      <c r="B51" s="39">
        <v>154</v>
      </c>
      <c r="C51" s="63" t="s">
        <v>40</v>
      </c>
      <c r="D51" s="39">
        <v>200</v>
      </c>
      <c r="E51" s="39" t="s">
        <v>34</v>
      </c>
      <c r="F51" s="39" t="s">
        <v>35</v>
      </c>
      <c r="G51" s="39" t="s">
        <v>36</v>
      </c>
      <c r="H51" s="39" t="b">
        <v>1</v>
      </c>
      <c r="I51" s="39"/>
      <c r="J51" s="39">
        <v>292</v>
      </c>
      <c r="K51" s="39">
        <v>370</v>
      </c>
      <c r="L51" s="39">
        <v>1</v>
      </c>
      <c r="M51" s="39">
        <v>1</v>
      </c>
      <c r="N51" s="63" t="s">
        <v>37</v>
      </c>
      <c r="O51" s="39">
        <v>154</v>
      </c>
      <c r="P51" s="39">
        <v>0</v>
      </c>
      <c r="Q51" s="39">
        <v>0</v>
      </c>
      <c r="R51" s="62"/>
    </row>
    <row r="53" spans="1:18">
      <c r="A53" s="169" t="s">
        <v>52</v>
      </c>
      <c r="B53" s="169"/>
      <c r="C53" s="22" t="s">
        <v>53</v>
      </c>
      <c r="D53" s="24"/>
      <c r="E53" s="9"/>
      <c r="F53" s="9"/>
      <c r="G53" s="9"/>
      <c r="H53" s="9"/>
      <c r="I53" s="9"/>
      <c r="J53" s="9"/>
      <c r="K53" s="9"/>
      <c r="L53" s="9"/>
      <c r="M53" s="9"/>
      <c r="N53" s="15"/>
      <c r="O53" s="9"/>
      <c r="P53" s="9"/>
      <c r="Q53" s="9"/>
      <c r="R53" s="9"/>
    </row>
    <row r="54" spans="1:18">
      <c r="A54" s="168" t="s">
        <v>13</v>
      </c>
      <c r="B54" s="168"/>
      <c r="C54" s="27" t="s">
        <v>196</v>
      </c>
      <c r="D54" s="24"/>
      <c r="E54" s="9"/>
      <c r="F54" s="9"/>
      <c r="G54" s="9"/>
      <c r="H54" s="9"/>
      <c r="I54" s="9"/>
      <c r="J54" s="9"/>
      <c r="K54" s="9"/>
      <c r="L54" s="9"/>
      <c r="M54" s="9"/>
      <c r="N54" s="15"/>
      <c r="O54" s="9"/>
      <c r="P54" s="9"/>
      <c r="Q54" s="9"/>
      <c r="R54" s="9"/>
    </row>
    <row r="55" spans="1:18">
      <c r="A55" s="64"/>
      <c r="B55" s="64"/>
      <c r="D55" s="9"/>
      <c r="E55" s="9"/>
      <c r="F55" s="9"/>
      <c r="G55" s="9"/>
      <c r="H55" s="9"/>
      <c r="I55" s="9"/>
      <c r="J55" s="9"/>
      <c r="K55" s="9"/>
      <c r="L55" s="9"/>
      <c r="M55" s="9"/>
      <c r="N55" s="15"/>
      <c r="O55" s="9"/>
      <c r="P55" s="9"/>
      <c r="Q55" s="9"/>
      <c r="R55" s="9"/>
    </row>
    <row r="56" spans="1:18">
      <c r="A56" s="59" t="s">
        <v>15</v>
      </c>
      <c r="B56" s="31" t="s">
        <v>16</v>
      </c>
      <c r="C56" s="60" t="s">
        <v>17</v>
      </c>
      <c r="D56" s="31" t="s">
        <v>18</v>
      </c>
      <c r="E56" s="31" t="s">
        <v>19</v>
      </c>
      <c r="F56" s="31" t="s">
        <v>20</v>
      </c>
      <c r="G56" s="31" t="s">
        <v>21</v>
      </c>
      <c r="H56" s="31" t="s">
        <v>22</v>
      </c>
      <c r="I56" s="31" t="s">
        <v>23</v>
      </c>
      <c r="J56" s="31" t="s">
        <v>24</v>
      </c>
      <c r="K56" s="31" t="s">
        <v>25</v>
      </c>
      <c r="L56" s="31" t="s">
        <v>26</v>
      </c>
      <c r="M56" s="31" t="s">
        <v>27</v>
      </c>
      <c r="N56" s="31" t="s">
        <v>28</v>
      </c>
      <c r="O56" s="31" t="s">
        <v>29</v>
      </c>
      <c r="P56" s="31" t="s">
        <v>30</v>
      </c>
      <c r="Q56" s="31" t="s">
        <v>31</v>
      </c>
      <c r="R56" s="31" t="s">
        <v>32</v>
      </c>
    </row>
    <row r="57" spans="1:18">
      <c r="A57" s="61">
        <v>1778744636971</v>
      </c>
      <c r="B57" s="34">
        <v>29429</v>
      </c>
      <c r="C57" s="6" t="s">
        <v>33</v>
      </c>
      <c r="D57" s="34">
        <v>200</v>
      </c>
      <c r="E57" s="34" t="s">
        <v>34</v>
      </c>
      <c r="F57" s="34" t="s">
        <v>35</v>
      </c>
      <c r="G57" s="34" t="s">
        <v>36</v>
      </c>
      <c r="H57" s="34" t="b">
        <v>1</v>
      </c>
      <c r="I57" s="34"/>
      <c r="J57" s="34">
        <v>206</v>
      </c>
      <c r="K57" s="34">
        <v>458</v>
      </c>
      <c r="L57" s="34">
        <v>1</v>
      </c>
      <c r="M57" s="34">
        <v>1</v>
      </c>
      <c r="N57" s="6" t="s">
        <v>37</v>
      </c>
      <c r="O57" s="34">
        <v>29429</v>
      </c>
      <c r="P57" s="34">
        <v>0</v>
      </c>
      <c r="Q57" s="34">
        <v>2</v>
      </c>
      <c r="R57" s="61"/>
    </row>
    <row r="58" spans="1:18">
      <c r="A58" s="61">
        <v>1778744666398</v>
      </c>
      <c r="B58" s="34">
        <v>164</v>
      </c>
      <c r="C58" s="6" t="s">
        <v>38</v>
      </c>
      <c r="D58" s="34">
        <v>200</v>
      </c>
      <c r="E58" s="34" t="s">
        <v>34</v>
      </c>
      <c r="F58" s="34" t="s">
        <v>35</v>
      </c>
      <c r="G58" s="34" t="s">
        <v>36</v>
      </c>
      <c r="H58" s="34" t="b">
        <v>1</v>
      </c>
      <c r="I58" s="34"/>
      <c r="J58" s="34">
        <v>2498</v>
      </c>
      <c r="K58" s="34">
        <v>344</v>
      </c>
      <c r="L58" s="34">
        <v>1</v>
      </c>
      <c r="M58" s="34">
        <v>1</v>
      </c>
      <c r="N58" s="6" t="s">
        <v>37</v>
      </c>
      <c r="O58" s="34">
        <v>164</v>
      </c>
      <c r="P58" s="34">
        <v>0</v>
      </c>
      <c r="Q58" s="34">
        <v>0</v>
      </c>
      <c r="R58" s="61"/>
    </row>
    <row r="59" spans="1:18">
      <c r="A59" s="61">
        <v>1778744666582</v>
      </c>
      <c r="B59" s="34">
        <v>156</v>
      </c>
      <c r="C59" s="6" t="s">
        <v>39</v>
      </c>
      <c r="D59" s="34">
        <v>200</v>
      </c>
      <c r="E59" s="34" t="s">
        <v>34</v>
      </c>
      <c r="F59" s="34" t="s">
        <v>35</v>
      </c>
      <c r="G59" s="34" t="s">
        <v>36</v>
      </c>
      <c r="H59" s="34" t="b">
        <v>1</v>
      </c>
      <c r="I59" s="34"/>
      <c r="J59" s="34">
        <v>598</v>
      </c>
      <c r="K59" s="34">
        <v>386</v>
      </c>
      <c r="L59" s="34">
        <v>1</v>
      </c>
      <c r="M59" s="34">
        <v>1</v>
      </c>
      <c r="N59" s="6" t="s">
        <v>37</v>
      </c>
      <c r="O59" s="34">
        <v>156</v>
      </c>
      <c r="P59" s="34">
        <v>0</v>
      </c>
      <c r="Q59" s="34">
        <v>0</v>
      </c>
      <c r="R59" s="61"/>
    </row>
    <row r="60" spans="1:18" ht="15" thickBot="1">
      <c r="A60" s="62">
        <v>1778744666738</v>
      </c>
      <c r="B60" s="39">
        <v>151</v>
      </c>
      <c r="C60" s="63" t="s">
        <v>40</v>
      </c>
      <c r="D60" s="39">
        <v>200</v>
      </c>
      <c r="E60" s="39" t="s">
        <v>34</v>
      </c>
      <c r="F60" s="39" t="s">
        <v>35</v>
      </c>
      <c r="G60" s="39" t="s">
        <v>36</v>
      </c>
      <c r="H60" s="39" t="b">
        <v>1</v>
      </c>
      <c r="I60" s="39"/>
      <c r="J60" s="39">
        <v>518</v>
      </c>
      <c r="K60" s="39">
        <v>370</v>
      </c>
      <c r="L60" s="39">
        <v>1</v>
      </c>
      <c r="M60" s="39">
        <v>1</v>
      </c>
      <c r="N60" s="63" t="s">
        <v>37</v>
      </c>
      <c r="O60" s="39">
        <v>151</v>
      </c>
      <c r="P60" s="39">
        <v>0</v>
      </c>
      <c r="Q60" s="39">
        <v>0</v>
      </c>
      <c r="R60" s="62"/>
    </row>
    <row r="62" spans="1:18">
      <c r="A62" s="169" t="s">
        <v>55</v>
      </c>
      <c r="B62" s="169"/>
      <c r="C62" s="22" t="s">
        <v>56</v>
      </c>
      <c r="D62" s="24"/>
      <c r="E62" s="9"/>
      <c r="F62" s="9"/>
      <c r="G62" s="9"/>
      <c r="H62" s="9"/>
      <c r="I62" s="9"/>
      <c r="J62" s="9"/>
      <c r="K62" s="9"/>
      <c r="L62" s="9"/>
      <c r="M62" s="9"/>
      <c r="N62" s="15"/>
      <c r="O62" s="9"/>
      <c r="P62" s="9"/>
      <c r="Q62" s="9"/>
      <c r="R62" s="9"/>
    </row>
    <row r="63" spans="1:18">
      <c r="A63" s="168" t="s">
        <v>13</v>
      </c>
      <c r="B63" s="168"/>
      <c r="C63" s="58" t="s">
        <v>197</v>
      </c>
      <c r="D63" s="24"/>
      <c r="E63" s="9"/>
      <c r="F63" s="9"/>
      <c r="G63" s="9"/>
      <c r="H63" s="9"/>
      <c r="I63" s="9"/>
      <c r="J63" s="9"/>
      <c r="K63" s="9"/>
      <c r="L63" s="9"/>
      <c r="M63" s="9"/>
      <c r="N63" s="15"/>
      <c r="O63" s="9"/>
      <c r="P63" s="9"/>
      <c r="Q63" s="9"/>
      <c r="R63" s="9"/>
    </row>
    <row r="64" spans="1:18">
      <c r="A64" s="64"/>
      <c r="B64" s="64"/>
      <c r="D64" s="9"/>
      <c r="E64" s="9"/>
      <c r="F64" s="9"/>
      <c r="G64" s="9"/>
      <c r="H64" s="9"/>
      <c r="I64" s="9"/>
      <c r="J64" s="9"/>
      <c r="K64" s="9"/>
      <c r="L64" s="9"/>
      <c r="M64" s="9"/>
      <c r="N64" s="15"/>
      <c r="O64" s="9"/>
      <c r="P64" s="9"/>
      <c r="Q64" s="9"/>
      <c r="R64" s="9"/>
    </row>
    <row r="65" spans="1:18">
      <c r="A65" s="59" t="s">
        <v>15</v>
      </c>
      <c r="B65" s="31" t="s">
        <v>16</v>
      </c>
      <c r="C65" s="60" t="s">
        <v>17</v>
      </c>
      <c r="D65" s="31" t="s">
        <v>18</v>
      </c>
      <c r="E65" s="31" t="s">
        <v>19</v>
      </c>
      <c r="F65" s="31" t="s">
        <v>20</v>
      </c>
      <c r="G65" s="31" t="s">
        <v>21</v>
      </c>
      <c r="H65" s="31" t="s">
        <v>22</v>
      </c>
      <c r="I65" s="31" t="s">
        <v>23</v>
      </c>
      <c r="J65" s="31" t="s">
        <v>24</v>
      </c>
      <c r="K65" s="31" t="s">
        <v>25</v>
      </c>
      <c r="L65" s="31" t="s">
        <v>26</v>
      </c>
      <c r="M65" s="31" t="s">
        <v>27</v>
      </c>
      <c r="N65" s="31" t="s">
        <v>28</v>
      </c>
      <c r="O65" s="31" t="s">
        <v>29</v>
      </c>
      <c r="P65" s="31" t="s">
        <v>30</v>
      </c>
      <c r="Q65" s="31" t="s">
        <v>31</v>
      </c>
      <c r="R65" s="31" t="s">
        <v>32</v>
      </c>
    </row>
    <row r="66" spans="1:18">
      <c r="A66" s="61">
        <v>1778744893871</v>
      </c>
      <c r="B66" s="34">
        <v>872895</v>
      </c>
      <c r="C66" s="6" t="s">
        <v>33</v>
      </c>
      <c r="D66" s="34">
        <v>200</v>
      </c>
      <c r="E66" s="34" t="s">
        <v>34</v>
      </c>
      <c r="F66" s="34" t="s">
        <v>35</v>
      </c>
      <c r="G66" s="34" t="s">
        <v>36</v>
      </c>
      <c r="H66" s="34" t="b">
        <v>1</v>
      </c>
      <c r="I66" s="34"/>
      <c r="J66" s="34">
        <v>206</v>
      </c>
      <c r="K66" s="34">
        <v>460</v>
      </c>
      <c r="L66" s="34">
        <v>1</v>
      </c>
      <c r="M66" s="34">
        <v>1</v>
      </c>
      <c r="N66" s="152" t="s">
        <v>37</v>
      </c>
      <c r="O66" s="34">
        <v>872895</v>
      </c>
      <c r="P66" s="34">
        <v>0</v>
      </c>
      <c r="Q66" s="34">
        <v>1</v>
      </c>
      <c r="R66" s="61"/>
    </row>
    <row r="67" spans="1:18">
      <c r="A67" s="61">
        <v>1778745766715</v>
      </c>
      <c r="B67" s="34">
        <v>126</v>
      </c>
      <c r="C67" s="6" t="s">
        <v>38</v>
      </c>
      <c r="D67" s="34">
        <v>200</v>
      </c>
      <c r="E67" s="34" t="s">
        <v>34</v>
      </c>
      <c r="F67" s="34" t="s">
        <v>35</v>
      </c>
      <c r="G67" s="34" t="s">
        <v>36</v>
      </c>
      <c r="H67" s="34" t="b">
        <v>1</v>
      </c>
      <c r="I67" s="34"/>
      <c r="J67" s="34">
        <v>2888</v>
      </c>
      <c r="K67" s="34">
        <v>344</v>
      </c>
      <c r="L67" s="34">
        <v>1</v>
      </c>
      <c r="M67" s="34">
        <v>1</v>
      </c>
      <c r="N67" s="6" t="s">
        <v>37</v>
      </c>
      <c r="O67" s="34">
        <v>126</v>
      </c>
      <c r="P67" s="34">
        <v>0</v>
      </c>
      <c r="Q67" s="34">
        <v>2</v>
      </c>
      <c r="R67" s="61"/>
    </row>
    <row r="68" spans="1:18">
      <c r="A68" s="61">
        <v>1778745766867</v>
      </c>
      <c r="B68" s="34">
        <v>104</v>
      </c>
      <c r="C68" s="6" t="s">
        <v>39</v>
      </c>
      <c r="D68" s="34">
        <v>200</v>
      </c>
      <c r="E68" s="34" t="s">
        <v>34</v>
      </c>
      <c r="F68" s="34" t="s">
        <v>35</v>
      </c>
      <c r="G68" s="34" t="s">
        <v>36</v>
      </c>
      <c r="H68" s="34" t="b">
        <v>1</v>
      </c>
      <c r="I68" s="34"/>
      <c r="J68" s="34">
        <v>228</v>
      </c>
      <c r="K68" s="34">
        <v>386</v>
      </c>
      <c r="L68" s="34">
        <v>1</v>
      </c>
      <c r="M68" s="34">
        <v>1</v>
      </c>
      <c r="N68" s="6" t="s">
        <v>37</v>
      </c>
      <c r="O68" s="34">
        <v>104</v>
      </c>
      <c r="P68" s="34">
        <v>0</v>
      </c>
      <c r="Q68" s="34">
        <v>0</v>
      </c>
      <c r="R68" s="61"/>
    </row>
    <row r="69" spans="1:18" ht="15" thickBot="1">
      <c r="A69" s="62">
        <v>1778745766971</v>
      </c>
      <c r="B69" s="39">
        <v>107</v>
      </c>
      <c r="C69" s="63" t="s">
        <v>40</v>
      </c>
      <c r="D69" s="39">
        <v>200</v>
      </c>
      <c r="E69" s="39" t="s">
        <v>34</v>
      </c>
      <c r="F69" s="39" t="s">
        <v>35</v>
      </c>
      <c r="G69" s="39" t="s">
        <v>36</v>
      </c>
      <c r="H69" s="39" t="b">
        <v>1</v>
      </c>
      <c r="I69" s="39"/>
      <c r="J69" s="39">
        <v>269</v>
      </c>
      <c r="K69" s="39">
        <v>369</v>
      </c>
      <c r="L69" s="39">
        <v>1</v>
      </c>
      <c r="M69" s="39">
        <v>1</v>
      </c>
      <c r="N69" s="63" t="s">
        <v>37</v>
      </c>
      <c r="O69" s="39">
        <v>106</v>
      </c>
      <c r="P69" s="39">
        <v>0</v>
      </c>
      <c r="Q69" s="39">
        <v>0</v>
      </c>
      <c r="R69" s="62"/>
    </row>
    <row r="71" spans="1:18">
      <c r="A71" s="169" t="s">
        <v>58</v>
      </c>
      <c r="B71" s="169"/>
      <c r="C71" s="22" t="s">
        <v>59</v>
      </c>
      <c r="D71" s="24"/>
      <c r="E71" s="9"/>
      <c r="F71" s="9"/>
      <c r="G71" s="9"/>
      <c r="H71" s="9"/>
      <c r="I71" s="9"/>
      <c r="J71" s="9"/>
      <c r="K71" s="9"/>
      <c r="L71" s="9"/>
      <c r="M71" s="9"/>
      <c r="N71" s="15"/>
      <c r="O71" s="9"/>
      <c r="P71" s="9"/>
      <c r="Q71" s="9"/>
      <c r="R71" s="9"/>
    </row>
    <row r="72" spans="1:18">
      <c r="A72" s="168" t="s">
        <v>13</v>
      </c>
      <c r="B72" s="168"/>
      <c r="C72" s="27" t="s">
        <v>198</v>
      </c>
      <c r="D72" s="24"/>
      <c r="E72" s="9"/>
      <c r="F72" s="9"/>
      <c r="G72" s="9"/>
      <c r="H72" s="9"/>
      <c r="I72" s="9"/>
      <c r="J72" s="9"/>
      <c r="K72" s="9"/>
      <c r="L72" s="9"/>
      <c r="M72" s="9"/>
      <c r="N72" s="15"/>
      <c r="O72" s="9"/>
      <c r="P72" s="9"/>
      <c r="Q72" s="9"/>
      <c r="R72" s="9"/>
    </row>
    <row r="73" spans="1:18">
      <c r="A73" s="64"/>
      <c r="B73" s="64"/>
      <c r="D73" s="9"/>
      <c r="E73" s="9"/>
      <c r="F73" s="9"/>
      <c r="G73" s="9"/>
      <c r="H73" s="9"/>
      <c r="I73" s="9"/>
      <c r="J73" s="9"/>
      <c r="K73" s="9"/>
      <c r="L73" s="9"/>
      <c r="M73" s="9"/>
      <c r="N73" s="15"/>
      <c r="O73" s="9"/>
      <c r="P73" s="9"/>
      <c r="Q73" s="9"/>
      <c r="R73" s="9"/>
    </row>
    <row r="74" spans="1:18">
      <c r="A74" s="59" t="s">
        <v>15</v>
      </c>
      <c r="B74" s="31" t="s">
        <v>16</v>
      </c>
      <c r="C74" s="60" t="s">
        <v>17</v>
      </c>
      <c r="D74" s="31" t="s">
        <v>18</v>
      </c>
      <c r="E74" s="31" t="s">
        <v>19</v>
      </c>
      <c r="F74" s="31" t="s">
        <v>20</v>
      </c>
      <c r="G74" s="31" t="s">
        <v>21</v>
      </c>
      <c r="H74" s="31" t="s">
        <v>22</v>
      </c>
      <c r="I74" s="31" t="s">
        <v>23</v>
      </c>
      <c r="J74" s="31" t="s">
        <v>24</v>
      </c>
      <c r="K74" s="31" t="s">
        <v>25</v>
      </c>
      <c r="L74" s="31" t="s">
        <v>26</v>
      </c>
      <c r="M74" s="31" t="s">
        <v>27</v>
      </c>
      <c r="N74" s="31" t="s">
        <v>28</v>
      </c>
      <c r="O74" s="31" t="s">
        <v>29</v>
      </c>
      <c r="P74" s="31" t="s">
        <v>30</v>
      </c>
      <c r="Q74" s="31" t="s">
        <v>31</v>
      </c>
      <c r="R74" s="31" t="s">
        <v>32</v>
      </c>
    </row>
    <row r="75" spans="1:18">
      <c r="A75" s="61">
        <v>1778770966371</v>
      </c>
      <c r="B75" s="34">
        <v>15497</v>
      </c>
      <c r="C75" s="6" t="s">
        <v>33</v>
      </c>
      <c r="D75" s="34">
        <v>200</v>
      </c>
      <c r="E75" s="34" t="s">
        <v>34</v>
      </c>
      <c r="F75" s="34" t="s">
        <v>35</v>
      </c>
      <c r="G75" s="34" t="s">
        <v>36</v>
      </c>
      <c r="H75" s="34" t="b">
        <v>1</v>
      </c>
      <c r="I75" s="34"/>
      <c r="J75" s="34">
        <v>207</v>
      </c>
      <c r="K75" s="34">
        <v>460</v>
      </c>
      <c r="L75" s="34">
        <v>1</v>
      </c>
      <c r="M75" s="34">
        <v>1</v>
      </c>
      <c r="N75" s="6" t="s">
        <v>37</v>
      </c>
      <c r="O75" s="34">
        <v>15493</v>
      </c>
      <c r="P75" s="34">
        <v>0</v>
      </c>
      <c r="Q75" s="34">
        <v>12</v>
      </c>
      <c r="R75" s="61"/>
    </row>
    <row r="76" spans="1:18">
      <c r="A76" s="61">
        <v>1778770981871</v>
      </c>
      <c r="B76" s="34">
        <v>163</v>
      </c>
      <c r="C76" s="6" t="s">
        <v>38</v>
      </c>
      <c r="D76" s="34">
        <v>200</v>
      </c>
      <c r="E76" s="34" t="s">
        <v>34</v>
      </c>
      <c r="F76" s="34" t="s">
        <v>35</v>
      </c>
      <c r="G76" s="34" t="s">
        <v>36</v>
      </c>
      <c r="H76" s="34" t="b">
        <v>1</v>
      </c>
      <c r="I76" s="34"/>
      <c r="J76" s="34">
        <v>8668</v>
      </c>
      <c r="K76" s="34">
        <v>346</v>
      </c>
      <c r="L76" s="34">
        <v>1</v>
      </c>
      <c r="M76" s="34">
        <v>1</v>
      </c>
      <c r="N76" s="6" t="s">
        <v>37</v>
      </c>
      <c r="O76" s="34">
        <v>163</v>
      </c>
      <c r="P76" s="34">
        <v>0</v>
      </c>
      <c r="Q76" s="34">
        <v>0</v>
      </c>
      <c r="R76" s="61"/>
    </row>
    <row r="77" spans="1:18">
      <c r="A77" s="61">
        <v>1778770982752</v>
      </c>
      <c r="B77" s="34">
        <v>125</v>
      </c>
      <c r="C77" s="6" t="s">
        <v>39</v>
      </c>
      <c r="D77" s="34">
        <v>200</v>
      </c>
      <c r="E77" s="34" t="s">
        <v>34</v>
      </c>
      <c r="F77" s="34" t="s">
        <v>35</v>
      </c>
      <c r="G77" s="34" t="s">
        <v>36</v>
      </c>
      <c r="H77" s="34" t="b">
        <v>1</v>
      </c>
      <c r="I77" s="34"/>
      <c r="J77" s="34">
        <v>2023</v>
      </c>
      <c r="K77" s="34">
        <v>389</v>
      </c>
      <c r="L77" s="34">
        <v>1</v>
      </c>
      <c r="M77" s="34">
        <v>1</v>
      </c>
      <c r="N77" s="6" t="s">
        <v>37</v>
      </c>
      <c r="O77" s="34">
        <v>125</v>
      </c>
      <c r="P77" s="34">
        <v>0</v>
      </c>
      <c r="Q77" s="34">
        <v>0</v>
      </c>
      <c r="R77" s="61"/>
    </row>
    <row r="78" spans="1:18" ht="15" thickBot="1">
      <c r="A78" s="62">
        <v>1778770982877</v>
      </c>
      <c r="B78" s="39">
        <v>104</v>
      </c>
      <c r="C78" s="63" t="s">
        <v>40</v>
      </c>
      <c r="D78" s="39">
        <v>200</v>
      </c>
      <c r="E78" s="39" t="s">
        <v>34</v>
      </c>
      <c r="F78" s="39" t="s">
        <v>35</v>
      </c>
      <c r="G78" s="39" t="s">
        <v>36</v>
      </c>
      <c r="H78" s="39" t="b">
        <v>1</v>
      </c>
      <c r="I78" s="39"/>
      <c r="J78" s="39">
        <v>414</v>
      </c>
      <c r="K78" s="39">
        <v>373</v>
      </c>
      <c r="L78" s="39">
        <v>1</v>
      </c>
      <c r="M78" s="39">
        <v>1</v>
      </c>
      <c r="N78" s="63" t="s">
        <v>37</v>
      </c>
      <c r="O78" s="39">
        <v>104</v>
      </c>
      <c r="P78" s="39">
        <v>0</v>
      </c>
      <c r="Q78" s="39">
        <v>0</v>
      </c>
      <c r="R78" s="62"/>
    </row>
    <row r="80" spans="1:18">
      <c r="A80" s="169" t="s">
        <v>61</v>
      </c>
      <c r="B80" s="169"/>
      <c r="C80" s="22" t="s">
        <v>62</v>
      </c>
      <c r="D80" s="24"/>
      <c r="E80" s="9"/>
      <c r="F80" s="9"/>
      <c r="G80" s="9"/>
      <c r="H80" s="9"/>
      <c r="I80" s="9"/>
      <c r="J80" s="9"/>
      <c r="K80" s="9"/>
      <c r="L80" s="9"/>
      <c r="M80" s="9"/>
      <c r="N80" s="15"/>
      <c r="O80" s="9"/>
      <c r="P80" s="9"/>
      <c r="Q80" s="9"/>
      <c r="R80" s="9"/>
    </row>
    <row r="81" spans="1:18">
      <c r="A81" s="168" t="s">
        <v>13</v>
      </c>
      <c r="B81" s="168"/>
      <c r="C81" s="27" t="s">
        <v>206</v>
      </c>
      <c r="D81" s="24"/>
      <c r="E81" s="9"/>
      <c r="F81" s="9"/>
      <c r="G81" s="9"/>
      <c r="H81" s="9"/>
      <c r="I81" s="9"/>
      <c r="J81" s="9"/>
      <c r="K81" s="9"/>
      <c r="L81" s="9"/>
      <c r="M81" s="9"/>
      <c r="N81" s="15"/>
      <c r="O81" s="9"/>
      <c r="P81" s="9"/>
      <c r="Q81" s="9"/>
      <c r="R81" s="9"/>
    </row>
    <row r="82" spans="1:18">
      <c r="A82" s="64"/>
      <c r="B82" s="64"/>
      <c r="D82" s="9"/>
      <c r="E82" s="9"/>
      <c r="F82" s="9"/>
      <c r="G82" s="9"/>
      <c r="H82" s="9"/>
      <c r="I82" s="9"/>
      <c r="J82" s="9"/>
      <c r="K82" s="9"/>
      <c r="L82" s="9"/>
      <c r="M82" s="9"/>
      <c r="N82" s="15"/>
      <c r="O82" s="9"/>
      <c r="P82" s="9"/>
      <c r="Q82" s="9"/>
      <c r="R82" s="9"/>
    </row>
    <row r="83" spans="1:18">
      <c r="A83" s="59" t="s">
        <v>15</v>
      </c>
      <c r="B83" s="31" t="s">
        <v>16</v>
      </c>
      <c r="C83" s="60" t="s">
        <v>17</v>
      </c>
      <c r="D83" s="31" t="s">
        <v>18</v>
      </c>
      <c r="E83" s="31" t="s">
        <v>19</v>
      </c>
      <c r="F83" s="31" t="s">
        <v>20</v>
      </c>
      <c r="G83" s="31" t="s">
        <v>21</v>
      </c>
      <c r="H83" s="31" t="s">
        <v>22</v>
      </c>
      <c r="I83" s="31" t="s">
        <v>23</v>
      </c>
      <c r="J83" s="31" t="s">
        <v>24</v>
      </c>
      <c r="K83" s="31" t="s">
        <v>25</v>
      </c>
      <c r="L83" s="31" t="s">
        <v>26</v>
      </c>
      <c r="M83" s="31" t="s">
        <v>27</v>
      </c>
      <c r="N83" s="31" t="s">
        <v>28</v>
      </c>
      <c r="O83" s="31" t="s">
        <v>29</v>
      </c>
      <c r="P83" s="31" t="s">
        <v>30</v>
      </c>
      <c r="Q83" s="31" t="s">
        <v>31</v>
      </c>
      <c r="R83" s="31" t="s">
        <v>32</v>
      </c>
    </row>
    <row r="84" spans="1:18">
      <c r="A84" s="61">
        <v>1778776286651</v>
      </c>
      <c r="B84" s="34">
        <v>22018</v>
      </c>
      <c r="C84" s="6" t="s">
        <v>33</v>
      </c>
      <c r="D84" s="34">
        <v>200</v>
      </c>
      <c r="E84" s="34" t="s">
        <v>34</v>
      </c>
      <c r="F84" s="34" t="s">
        <v>35</v>
      </c>
      <c r="G84" s="34" t="s">
        <v>36</v>
      </c>
      <c r="H84" s="34" t="b">
        <v>1</v>
      </c>
      <c r="I84" s="34"/>
      <c r="J84" s="34">
        <v>207</v>
      </c>
      <c r="K84" s="34">
        <v>460</v>
      </c>
      <c r="L84" s="34">
        <v>1</v>
      </c>
      <c r="M84" s="34">
        <v>1</v>
      </c>
      <c r="N84" s="6" t="s">
        <v>37</v>
      </c>
      <c r="O84" s="34">
        <v>22017</v>
      </c>
      <c r="P84" s="34">
        <v>0</v>
      </c>
      <c r="Q84" s="34">
        <v>2</v>
      </c>
      <c r="R84" s="61"/>
    </row>
    <row r="85" spans="1:18">
      <c r="A85" s="61">
        <v>1778776308669</v>
      </c>
      <c r="B85" s="34">
        <v>157</v>
      </c>
      <c r="C85" s="6" t="s">
        <v>38</v>
      </c>
      <c r="D85" s="34">
        <v>200</v>
      </c>
      <c r="E85" s="34" t="s">
        <v>34</v>
      </c>
      <c r="F85" s="34" t="s">
        <v>35</v>
      </c>
      <c r="G85" s="34" t="s">
        <v>36</v>
      </c>
      <c r="H85" s="34" t="b">
        <v>1</v>
      </c>
      <c r="I85" s="34"/>
      <c r="J85" s="34">
        <v>9054</v>
      </c>
      <c r="K85" s="34">
        <v>346</v>
      </c>
      <c r="L85" s="34">
        <v>1</v>
      </c>
      <c r="M85" s="34">
        <v>1</v>
      </c>
      <c r="N85" s="6" t="s">
        <v>37</v>
      </c>
      <c r="O85" s="34">
        <v>157</v>
      </c>
      <c r="P85" s="34">
        <v>0</v>
      </c>
      <c r="Q85" s="34">
        <v>0</v>
      </c>
      <c r="R85" s="61"/>
    </row>
    <row r="86" spans="1:18">
      <c r="A86" s="61">
        <v>1778776308858</v>
      </c>
      <c r="B86" s="34">
        <v>142</v>
      </c>
      <c r="C86" s="6" t="s">
        <v>39</v>
      </c>
      <c r="D86" s="34">
        <v>200</v>
      </c>
      <c r="E86" s="34" t="s">
        <v>34</v>
      </c>
      <c r="F86" s="34" t="s">
        <v>35</v>
      </c>
      <c r="G86" s="34" t="s">
        <v>36</v>
      </c>
      <c r="H86" s="34" t="b">
        <v>1</v>
      </c>
      <c r="I86" s="34"/>
      <c r="J86" s="34">
        <v>219</v>
      </c>
      <c r="K86" s="34">
        <v>389</v>
      </c>
      <c r="L86" s="34">
        <v>1</v>
      </c>
      <c r="M86" s="34">
        <v>1</v>
      </c>
      <c r="N86" s="6" t="s">
        <v>37</v>
      </c>
      <c r="O86" s="34">
        <v>142</v>
      </c>
      <c r="P86" s="34">
        <v>0</v>
      </c>
      <c r="Q86" s="34">
        <v>0</v>
      </c>
      <c r="R86" s="61"/>
    </row>
    <row r="87" spans="1:18" ht="15" thickBot="1">
      <c r="A87" s="62">
        <v>1778776309001</v>
      </c>
      <c r="B87" s="39">
        <v>118</v>
      </c>
      <c r="C87" s="63" t="s">
        <v>40</v>
      </c>
      <c r="D87" s="39">
        <v>200</v>
      </c>
      <c r="E87" s="39" t="s">
        <v>34</v>
      </c>
      <c r="F87" s="39" t="s">
        <v>35</v>
      </c>
      <c r="G87" s="39" t="s">
        <v>36</v>
      </c>
      <c r="H87" s="39" t="b">
        <v>1</v>
      </c>
      <c r="I87" s="39"/>
      <c r="J87" s="39">
        <v>542</v>
      </c>
      <c r="K87" s="39">
        <v>371</v>
      </c>
      <c r="L87" s="39">
        <v>1</v>
      </c>
      <c r="M87" s="39">
        <v>1</v>
      </c>
      <c r="N87" s="63" t="s">
        <v>37</v>
      </c>
      <c r="O87" s="39">
        <v>118</v>
      </c>
      <c r="P87" s="39">
        <v>0</v>
      </c>
      <c r="Q87" s="39">
        <v>0</v>
      </c>
      <c r="R87" s="62"/>
    </row>
    <row r="89" spans="1:18">
      <c r="A89" s="169" t="s">
        <v>64</v>
      </c>
      <c r="B89" s="169"/>
      <c r="C89" s="22" t="s">
        <v>65</v>
      </c>
      <c r="D89" s="24"/>
      <c r="E89" s="9"/>
      <c r="F89" s="9"/>
      <c r="G89" s="9"/>
      <c r="H89" s="9"/>
      <c r="I89" s="9"/>
      <c r="J89" s="9"/>
      <c r="K89" s="9"/>
      <c r="L89" s="9"/>
      <c r="M89" s="9"/>
      <c r="N89" s="15"/>
      <c r="O89" s="9"/>
      <c r="P89" s="9"/>
      <c r="Q89" s="9"/>
      <c r="R89" s="9"/>
    </row>
    <row r="90" spans="1:18">
      <c r="A90" s="168" t="s">
        <v>13</v>
      </c>
      <c r="B90" s="168"/>
      <c r="C90" s="27" t="s">
        <v>209</v>
      </c>
      <c r="D90" s="24"/>
      <c r="E90" s="9"/>
      <c r="F90" s="9"/>
      <c r="G90" s="9"/>
      <c r="H90" s="9"/>
      <c r="I90" s="9"/>
      <c r="J90" s="9"/>
      <c r="K90" s="9"/>
      <c r="L90" s="9"/>
      <c r="M90" s="9"/>
      <c r="N90" s="15"/>
      <c r="O90" s="9"/>
      <c r="P90" s="9"/>
      <c r="Q90" s="9"/>
      <c r="R90" s="9"/>
    </row>
    <row r="91" spans="1:18">
      <c r="A91" s="64"/>
      <c r="B91" s="64"/>
      <c r="D91" s="9"/>
      <c r="E91" s="9"/>
      <c r="F91" s="9"/>
      <c r="G91" s="9"/>
      <c r="H91" s="9"/>
      <c r="I91" s="9"/>
      <c r="J91" s="9"/>
      <c r="K91" s="9"/>
      <c r="L91" s="9"/>
      <c r="M91" s="9"/>
      <c r="N91" s="15"/>
      <c r="O91" s="9"/>
      <c r="P91" s="9"/>
      <c r="Q91" s="9"/>
      <c r="R91" s="9"/>
    </row>
    <row r="92" spans="1:18">
      <c r="A92" s="59" t="s">
        <v>15</v>
      </c>
      <c r="B92" s="31" t="s">
        <v>16</v>
      </c>
      <c r="C92" s="60" t="s">
        <v>17</v>
      </c>
      <c r="D92" s="31" t="s">
        <v>18</v>
      </c>
      <c r="E92" s="31" t="s">
        <v>19</v>
      </c>
      <c r="F92" s="31" t="s">
        <v>20</v>
      </c>
      <c r="G92" s="31" t="s">
        <v>21</v>
      </c>
      <c r="H92" s="31" t="s">
        <v>22</v>
      </c>
      <c r="I92" s="31" t="s">
        <v>23</v>
      </c>
      <c r="J92" s="31" t="s">
        <v>24</v>
      </c>
      <c r="K92" s="31" t="s">
        <v>25</v>
      </c>
      <c r="L92" s="31" t="s">
        <v>26</v>
      </c>
      <c r="M92" s="31" t="s">
        <v>27</v>
      </c>
      <c r="N92" s="31" t="s">
        <v>28</v>
      </c>
      <c r="O92" s="31" t="s">
        <v>29</v>
      </c>
      <c r="P92" s="31" t="s">
        <v>30</v>
      </c>
      <c r="Q92" s="31" t="s">
        <v>31</v>
      </c>
      <c r="R92" s="31" t="s">
        <v>32</v>
      </c>
    </row>
    <row r="93" spans="1:18">
      <c r="A93" s="61">
        <v>1778825355237</v>
      </c>
      <c r="B93" s="34">
        <v>587845</v>
      </c>
      <c r="C93" s="6" t="s">
        <v>33</v>
      </c>
      <c r="D93" s="34">
        <v>200</v>
      </c>
      <c r="E93" s="34" t="s">
        <v>34</v>
      </c>
      <c r="F93" s="34" t="s">
        <v>35</v>
      </c>
      <c r="G93" s="34" t="s">
        <v>36</v>
      </c>
      <c r="H93" s="34" t="b">
        <v>1</v>
      </c>
      <c r="I93" s="34"/>
      <c r="J93" s="34">
        <v>207</v>
      </c>
      <c r="K93" s="34">
        <v>474</v>
      </c>
      <c r="L93" s="34">
        <v>1</v>
      </c>
      <c r="M93" s="34">
        <v>1</v>
      </c>
      <c r="N93" s="6" t="s">
        <v>37</v>
      </c>
      <c r="O93" s="34">
        <v>587845</v>
      </c>
      <c r="P93" s="34">
        <v>0</v>
      </c>
      <c r="Q93" s="34">
        <v>1</v>
      </c>
      <c r="R93" s="61"/>
    </row>
    <row r="94" spans="1:18">
      <c r="A94" s="61">
        <v>1778825943067</v>
      </c>
      <c r="B94" s="34">
        <v>193</v>
      </c>
      <c r="C94" s="6" t="s">
        <v>38</v>
      </c>
      <c r="D94" s="34">
        <v>200</v>
      </c>
      <c r="E94" s="34" t="s">
        <v>34</v>
      </c>
      <c r="F94" s="34" t="s">
        <v>35</v>
      </c>
      <c r="G94" s="34" t="s">
        <v>36</v>
      </c>
      <c r="H94" s="34" t="b">
        <v>1</v>
      </c>
      <c r="I94" s="34"/>
      <c r="J94" s="34">
        <v>9472</v>
      </c>
      <c r="K94" s="34">
        <v>346</v>
      </c>
      <c r="L94" s="34">
        <v>1</v>
      </c>
      <c r="M94" s="34">
        <v>1</v>
      </c>
      <c r="N94" s="6" t="s">
        <v>37</v>
      </c>
      <c r="O94" s="34">
        <v>193</v>
      </c>
      <c r="P94" s="34">
        <v>0</v>
      </c>
      <c r="Q94" s="34">
        <v>1</v>
      </c>
      <c r="R94" s="61"/>
    </row>
    <row r="95" spans="1:18">
      <c r="A95" s="61">
        <v>1778825943310</v>
      </c>
      <c r="B95" s="34">
        <v>319</v>
      </c>
      <c r="C95" s="6" t="s">
        <v>39</v>
      </c>
      <c r="D95" s="34">
        <v>500</v>
      </c>
      <c r="E95" s="34" t="s">
        <v>67</v>
      </c>
      <c r="F95" s="34" t="s">
        <v>35</v>
      </c>
      <c r="G95" s="34" t="s">
        <v>36</v>
      </c>
      <c r="H95" s="34" t="b">
        <v>0</v>
      </c>
      <c r="I95" s="34"/>
      <c r="J95" s="34">
        <v>189</v>
      </c>
      <c r="K95" s="34">
        <v>389</v>
      </c>
      <c r="L95" s="34">
        <v>1</v>
      </c>
      <c r="M95" s="34">
        <v>1</v>
      </c>
      <c r="N95" s="6" t="s">
        <v>37</v>
      </c>
      <c r="O95" s="34">
        <v>319</v>
      </c>
      <c r="P95" s="34">
        <v>0</v>
      </c>
      <c r="Q95" s="34">
        <v>0</v>
      </c>
      <c r="R95" s="61"/>
    </row>
    <row r="96" spans="1:18" ht="15" thickBot="1">
      <c r="A96" s="62">
        <v>1778825943630</v>
      </c>
      <c r="B96" s="39">
        <v>149</v>
      </c>
      <c r="C96" s="63" t="s">
        <v>40</v>
      </c>
      <c r="D96" s="39">
        <v>200</v>
      </c>
      <c r="E96" s="39" t="s">
        <v>34</v>
      </c>
      <c r="F96" s="39" t="s">
        <v>35</v>
      </c>
      <c r="G96" s="39" t="s">
        <v>36</v>
      </c>
      <c r="H96" s="39" t="b">
        <v>1</v>
      </c>
      <c r="I96" s="39"/>
      <c r="J96" s="39">
        <v>676</v>
      </c>
      <c r="K96" s="39">
        <v>375</v>
      </c>
      <c r="L96" s="39">
        <v>1</v>
      </c>
      <c r="M96" s="39">
        <v>1</v>
      </c>
      <c r="N96" s="63" t="s">
        <v>37</v>
      </c>
      <c r="O96" s="39">
        <v>148</v>
      </c>
      <c r="P96" s="39">
        <v>0</v>
      </c>
      <c r="Q96" s="39">
        <v>0</v>
      </c>
      <c r="R96" s="62"/>
    </row>
    <row r="98" spans="1:18">
      <c r="A98" s="169" t="s">
        <v>68</v>
      </c>
      <c r="B98" s="169"/>
      <c r="C98" s="22" t="s">
        <v>250</v>
      </c>
      <c r="D98" s="24"/>
      <c r="E98" s="9"/>
      <c r="F98" s="9"/>
      <c r="G98" s="9"/>
      <c r="H98" s="9"/>
      <c r="I98" s="9"/>
      <c r="J98" s="9"/>
      <c r="K98" s="9"/>
      <c r="L98" s="9"/>
      <c r="M98" s="9"/>
      <c r="N98" s="15"/>
      <c r="O98" s="9"/>
      <c r="P98" s="9"/>
      <c r="Q98" s="9"/>
      <c r="R98" s="9"/>
    </row>
    <row r="99" spans="1:18">
      <c r="A99" s="168" t="s">
        <v>13</v>
      </c>
      <c r="B99" s="168"/>
      <c r="C99" s="27" t="s">
        <v>213</v>
      </c>
      <c r="D99" s="24"/>
      <c r="E99" s="9"/>
      <c r="F99" s="9"/>
      <c r="G99" s="9"/>
      <c r="H99" s="9"/>
      <c r="I99" s="9"/>
      <c r="J99" s="9"/>
      <c r="K99" s="9"/>
      <c r="L99" s="9"/>
      <c r="M99" s="9"/>
      <c r="N99" s="15"/>
      <c r="O99" s="9"/>
      <c r="P99" s="9"/>
      <c r="Q99" s="9"/>
      <c r="R99" s="9"/>
    </row>
    <row r="100" spans="1:18">
      <c r="A100" s="64"/>
      <c r="B100" s="64"/>
      <c r="D100" s="9"/>
      <c r="E100" s="9"/>
      <c r="F100" s="9"/>
      <c r="G100" s="9"/>
      <c r="H100" s="9"/>
      <c r="I100" s="9"/>
      <c r="J100" s="9"/>
      <c r="K100" s="9"/>
      <c r="L100" s="9"/>
      <c r="M100" s="9"/>
      <c r="N100" s="15"/>
      <c r="O100" s="9"/>
      <c r="P100" s="9"/>
      <c r="Q100" s="9"/>
      <c r="R100" s="9"/>
    </row>
    <row r="101" spans="1:18">
      <c r="A101" s="59" t="s">
        <v>15</v>
      </c>
      <c r="B101" s="31" t="s">
        <v>16</v>
      </c>
      <c r="C101" s="60" t="s">
        <v>17</v>
      </c>
      <c r="D101" s="31" t="s">
        <v>18</v>
      </c>
      <c r="E101" s="31" t="s">
        <v>19</v>
      </c>
      <c r="F101" s="31" t="s">
        <v>20</v>
      </c>
      <c r="G101" s="31" t="s">
        <v>21</v>
      </c>
      <c r="H101" s="31" t="s">
        <v>22</v>
      </c>
      <c r="I101" s="31" t="s">
        <v>23</v>
      </c>
      <c r="J101" s="31" t="s">
        <v>24</v>
      </c>
      <c r="K101" s="31" t="s">
        <v>25</v>
      </c>
      <c r="L101" s="31" t="s">
        <v>26</v>
      </c>
      <c r="M101" s="31" t="s">
        <v>27</v>
      </c>
      <c r="N101" s="31" t="s">
        <v>28</v>
      </c>
      <c r="O101" s="31" t="s">
        <v>29</v>
      </c>
      <c r="P101" s="31" t="s">
        <v>30</v>
      </c>
      <c r="Q101" s="31" t="s">
        <v>31</v>
      </c>
      <c r="R101" s="31" t="s">
        <v>32</v>
      </c>
    </row>
    <row r="102" spans="1:18">
      <c r="A102" s="61">
        <v>1778831678450</v>
      </c>
      <c r="B102" s="34">
        <v>1469</v>
      </c>
      <c r="C102" s="6" t="s">
        <v>33</v>
      </c>
      <c r="D102" s="34">
        <v>200</v>
      </c>
      <c r="E102" s="34" t="s">
        <v>34</v>
      </c>
      <c r="F102" s="34" t="s">
        <v>35</v>
      </c>
      <c r="G102" s="34" t="s">
        <v>36</v>
      </c>
      <c r="H102" s="34" t="b">
        <v>1</v>
      </c>
      <c r="I102" s="34"/>
      <c r="J102" s="34">
        <v>292</v>
      </c>
      <c r="K102" s="34">
        <v>461</v>
      </c>
      <c r="L102" s="34">
        <v>1</v>
      </c>
      <c r="M102" s="34">
        <v>1</v>
      </c>
      <c r="N102" s="6" t="s">
        <v>37</v>
      </c>
      <c r="O102" s="34">
        <v>1469</v>
      </c>
      <c r="P102" s="34">
        <v>0</v>
      </c>
      <c r="Q102" s="34">
        <v>2</v>
      </c>
      <c r="R102" s="61" t="s">
        <v>71</v>
      </c>
    </row>
    <row r="103" spans="1:18">
      <c r="A103" s="61">
        <v>1778831679920</v>
      </c>
      <c r="B103" s="34">
        <v>1165</v>
      </c>
      <c r="C103" s="6" t="s">
        <v>38</v>
      </c>
      <c r="D103" s="34">
        <v>200</v>
      </c>
      <c r="E103" s="34" t="s">
        <v>34</v>
      </c>
      <c r="F103" s="34" t="s">
        <v>35</v>
      </c>
      <c r="G103" s="34" t="s">
        <v>36</v>
      </c>
      <c r="H103" s="34" t="b">
        <v>1</v>
      </c>
      <c r="I103" s="34"/>
      <c r="J103" s="34">
        <v>9472</v>
      </c>
      <c r="K103" s="34">
        <v>346</v>
      </c>
      <c r="L103" s="34">
        <v>1</v>
      </c>
      <c r="M103" s="34">
        <v>1</v>
      </c>
      <c r="N103" s="6" t="s">
        <v>37</v>
      </c>
      <c r="O103" s="34">
        <v>1165</v>
      </c>
      <c r="P103" s="34">
        <v>0</v>
      </c>
      <c r="Q103" s="34">
        <v>0</v>
      </c>
      <c r="R103" s="61"/>
    </row>
    <row r="104" spans="1:18">
      <c r="A104" s="61">
        <v>1778831681109</v>
      </c>
      <c r="B104" s="34">
        <v>4649</v>
      </c>
      <c r="C104" s="6" t="s">
        <v>39</v>
      </c>
      <c r="D104" s="34" t="s">
        <v>72</v>
      </c>
      <c r="E104" s="34" t="s">
        <v>73</v>
      </c>
      <c r="F104" s="34" t="s">
        <v>35</v>
      </c>
      <c r="G104" s="34" t="s">
        <v>36</v>
      </c>
      <c r="H104" s="34" t="b">
        <v>0</v>
      </c>
      <c r="I104" s="34"/>
      <c r="J104" s="34">
        <v>2441</v>
      </c>
      <c r="K104" s="34">
        <v>0</v>
      </c>
      <c r="L104" s="34">
        <v>1</v>
      </c>
      <c r="M104" s="34">
        <v>1</v>
      </c>
      <c r="N104" s="6" t="s">
        <v>37</v>
      </c>
      <c r="O104" s="34">
        <v>0</v>
      </c>
      <c r="P104" s="34">
        <v>0</v>
      </c>
      <c r="Q104" s="34">
        <v>0</v>
      </c>
      <c r="R104" s="61"/>
    </row>
    <row r="105" spans="1:18" ht="15" thickBot="1">
      <c r="A105" s="62">
        <v>1778831685758</v>
      </c>
      <c r="B105" s="39">
        <v>4719</v>
      </c>
      <c r="C105" s="63" t="s">
        <v>40</v>
      </c>
      <c r="D105" s="39" t="s">
        <v>72</v>
      </c>
      <c r="E105" s="39" t="s">
        <v>73</v>
      </c>
      <c r="F105" s="39" t="s">
        <v>35</v>
      </c>
      <c r="G105" s="39" t="s">
        <v>36</v>
      </c>
      <c r="H105" s="39" t="b">
        <v>0</v>
      </c>
      <c r="I105" s="39"/>
      <c r="J105" s="39">
        <v>2441</v>
      </c>
      <c r="K105" s="39">
        <v>0</v>
      </c>
      <c r="L105" s="39">
        <v>1</v>
      </c>
      <c r="M105" s="39">
        <v>1</v>
      </c>
      <c r="N105" s="63" t="s">
        <v>37</v>
      </c>
      <c r="O105" s="39">
        <v>0</v>
      </c>
      <c r="P105" s="39">
        <v>0</v>
      </c>
      <c r="Q105" s="39">
        <v>507</v>
      </c>
      <c r="R105" s="62"/>
    </row>
    <row r="107" spans="1:18">
      <c r="A107" s="169" t="s">
        <v>76</v>
      </c>
      <c r="B107" s="169"/>
      <c r="C107" s="22" t="s">
        <v>251</v>
      </c>
      <c r="D107" s="24"/>
      <c r="E107" s="9"/>
      <c r="F107" s="9"/>
      <c r="G107" s="9"/>
      <c r="H107" s="9"/>
      <c r="I107" s="9"/>
      <c r="J107" s="9"/>
      <c r="K107" s="9"/>
      <c r="L107" s="9"/>
      <c r="M107" s="9"/>
      <c r="N107" s="15"/>
      <c r="O107" s="9"/>
      <c r="P107" s="9"/>
      <c r="Q107" s="9"/>
      <c r="R107" s="9"/>
    </row>
    <row r="108" spans="1:18">
      <c r="A108" s="168" t="s">
        <v>13</v>
      </c>
      <c r="B108" s="168"/>
      <c r="C108" s="27" t="s">
        <v>217</v>
      </c>
      <c r="D108" s="24"/>
      <c r="E108" s="9"/>
      <c r="F108" s="9"/>
      <c r="G108" s="9"/>
      <c r="H108" s="9"/>
      <c r="I108" s="9"/>
      <c r="J108" s="9"/>
      <c r="K108" s="9"/>
      <c r="L108" s="9"/>
      <c r="M108" s="9"/>
      <c r="N108" s="15"/>
      <c r="O108" s="9"/>
      <c r="P108" s="9"/>
      <c r="Q108" s="9"/>
      <c r="R108" s="9"/>
    </row>
    <row r="109" spans="1:18">
      <c r="A109" s="64"/>
      <c r="B109" s="64"/>
      <c r="D109" s="9"/>
      <c r="E109" s="9"/>
      <c r="F109" s="9"/>
      <c r="G109" s="9"/>
      <c r="H109" s="9"/>
      <c r="I109" s="9"/>
      <c r="J109" s="9"/>
      <c r="K109" s="9"/>
      <c r="L109" s="9"/>
      <c r="M109" s="9"/>
      <c r="N109" s="15"/>
      <c r="O109" s="9"/>
      <c r="P109" s="9"/>
      <c r="Q109" s="9"/>
      <c r="R109" s="9"/>
    </row>
    <row r="110" spans="1:18">
      <c r="A110" s="59" t="s">
        <v>15</v>
      </c>
      <c r="B110" s="31" t="s">
        <v>16</v>
      </c>
      <c r="C110" s="60" t="s">
        <v>17</v>
      </c>
      <c r="D110" s="31" t="s">
        <v>18</v>
      </c>
      <c r="E110" s="31" t="s">
        <v>19</v>
      </c>
      <c r="F110" s="31" t="s">
        <v>20</v>
      </c>
      <c r="G110" s="31" t="s">
        <v>21</v>
      </c>
      <c r="H110" s="31" t="s">
        <v>22</v>
      </c>
      <c r="I110" s="31" t="s">
        <v>23</v>
      </c>
      <c r="J110" s="31" t="s">
        <v>24</v>
      </c>
      <c r="K110" s="31" t="s">
        <v>25</v>
      </c>
      <c r="L110" s="31" t="s">
        <v>26</v>
      </c>
      <c r="M110" s="31" t="s">
        <v>27</v>
      </c>
      <c r="N110" s="31" t="s">
        <v>28</v>
      </c>
      <c r="O110" s="31" t="s">
        <v>29</v>
      </c>
      <c r="P110" s="31" t="s">
        <v>30</v>
      </c>
      <c r="Q110" s="31" t="s">
        <v>31</v>
      </c>
      <c r="R110" s="31" t="s">
        <v>32</v>
      </c>
    </row>
    <row r="111" spans="1:18">
      <c r="A111" s="61">
        <v>1778832295381</v>
      </c>
      <c r="B111" s="34">
        <v>1464</v>
      </c>
      <c r="C111" s="6" t="s">
        <v>33</v>
      </c>
      <c r="D111" s="34">
        <v>200</v>
      </c>
      <c r="E111" s="34" t="s">
        <v>34</v>
      </c>
      <c r="F111" s="34" t="s">
        <v>35</v>
      </c>
      <c r="G111" s="34" t="s">
        <v>36</v>
      </c>
      <c r="H111" s="34" t="b">
        <v>1</v>
      </c>
      <c r="I111" s="34"/>
      <c r="J111" s="34">
        <v>290</v>
      </c>
      <c r="K111" s="34">
        <v>459</v>
      </c>
      <c r="L111" s="34">
        <v>1</v>
      </c>
      <c r="M111" s="34">
        <v>1</v>
      </c>
      <c r="N111" s="6" t="s">
        <v>37</v>
      </c>
      <c r="O111" s="34">
        <v>1464</v>
      </c>
      <c r="P111" s="34">
        <v>0</v>
      </c>
      <c r="Q111" s="34">
        <v>1</v>
      </c>
      <c r="R111" s="61" t="s">
        <v>71</v>
      </c>
    </row>
    <row r="112" spans="1:18">
      <c r="A112" s="61">
        <v>1778832296846</v>
      </c>
      <c r="B112" s="34">
        <v>1099</v>
      </c>
      <c r="C112" s="6" t="s">
        <v>38</v>
      </c>
      <c r="D112" s="34">
        <v>200</v>
      </c>
      <c r="E112" s="34" t="s">
        <v>34</v>
      </c>
      <c r="F112" s="34" t="s">
        <v>35</v>
      </c>
      <c r="G112" s="34" t="s">
        <v>36</v>
      </c>
      <c r="H112" s="34" t="b">
        <v>1</v>
      </c>
      <c r="I112" s="34"/>
      <c r="J112" s="34">
        <v>9472</v>
      </c>
      <c r="K112" s="34">
        <v>346</v>
      </c>
      <c r="L112" s="34">
        <v>1</v>
      </c>
      <c r="M112" s="34">
        <v>1</v>
      </c>
      <c r="N112" s="6" t="s">
        <v>37</v>
      </c>
      <c r="O112" s="34">
        <v>1099</v>
      </c>
      <c r="P112" s="34">
        <v>0</v>
      </c>
      <c r="Q112" s="34">
        <v>0</v>
      </c>
      <c r="R112" s="61"/>
    </row>
    <row r="113" spans="1:18">
      <c r="A113" s="61">
        <v>1778832297967</v>
      </c>
      <c r="B113" s="34">
        <v>4388</v>
      </c>
      <c r="C113" s="6" t="s">
        <v>39</v>
      </c>
      <c r="D113" s="34" t="s">
        <v>72</v>
      </c>
      <c r="E113" s="34" t="s">
        <v>73</v>
      </c>
      <c r="F113" s="34" t="s">
        <v>35</v>
      </c>
      <c r="G113" s="34" t="s">
        <v>36</v>
      </c>
      <c r="H113" s="34" t="b">
        <v>0</v>
      </c>
      <c r="I113" s="34"/>
      <c r="J113" s="34">
        <v>2441</v>
      </c>
      <c r="K113" s="34">
        <v>0</v>
      </c>
      <c r="L113" s="34">
        <v>1</v>
      </c>
      <c r="M113" s="34">
        <v>1</v>
      </c>
      <c r="N113" s="6" t="s">
        <v>37</v>
      </c>
      <c r="O113" s="34">
        <v>0</v>
      </c>
      <c r="P113" s="34">
        <v>0</v>
      </c>
      <c r="Q113" s="34">
        <v>0</v>
      </c>
      <c r="R113" s="61"/>
    </row>
    <row r="114" spans="1:18" ht="15" thickBot="1">
      <c r="A114" s="62">
        <v>1778832302356</v>
      </c>
      <c r="B114" s="39">
        <v>5030</v>
      </c>
      <c r="C114" s="63" t="s">
        <v>40</v>
      </c>
      <c r="D114" s="39" t="s">
        <v>72</v>
      </c>
      <c r="E114" s="39" t="s">
        <v>73</v>
      </c>
      <c r="F114" s="39" t="s">
        <v>35</v>
      </c>
      <c r="G114" s="39" t="s">
        <v>36</v>
      </c>
      <c r="H114" s="39" t="b">
        <v>0</v>
      </c>
      <c r="I114" s="39"/>
      <c r="J114" s="39">
        <v>2441</v>
      </c>
      <c r="K114" s="39">
        <v>0</v>
      </c>
      <c r="L114" s="39">
        <v>1</v>
      </c>
      <c r="M114" s="39">
        <v>1</v>
      </c>
      <c r="N114" s="63" t="s">
        <v>37</v>
      </c>
      <c r="O114" s="39">
        <v>0</v>
      </c>
      <c r="P114" s="39">
        <v>0</v>
      </c>
      <c r="Q114" s="39">
        <v>502</v>
      </c>
      <c r="R114" s="62"/>
    </row>
    <row r="116" spans="1:18">
      <c r="A116" s="169" t="s">
        <v>79</v>
      </c>
      <c r="B116" s="169"/>
      <c r="C116" s="22" t="s">
        <v>80</v>
      </c>
      <c r="D116" s="24"/>
      <c r="E116" s="9"/>
      <c r="F116" s="9"/>
      <c r="G116" s="9"/>
      <c r="H116" s="9"/>
      <c r="I116" s="9"/>
      <c r="J116" s="9"/>
      <c r="K116" s="9"/>
      <c r="L116" s="9"/>
      <c r="M116" s="9"/>
      <c r="N116" s="15"/>
      <c r="O116" s="9"/>
      <c r="P116" s="9"/>
      <c r="Q116" s="9"/>
      <c r="R116" s="9"/>
    </row>
    <row r="117" spans="1:18">
      <c r="A117" s="168" t="s">
        <v>13</v>
      </c>
      <c r="B117" s="168"/>
      <c r="C117" s="27" t="s">
        <v>220</v>
      </c>
      <c r="D117" s="24"/>
      <c r="E117" s="9"/>
      <c r="F117" s="9"/>
      <c r="G117" s="9"/>
      <c r="H117" s="9"/>
      <c r="I117" s="9"/>
      <c r="J117" s="9"/>
      <c r="K117" s="9"/>
      <c r="L117" s="9"/>
      <c r="M117" s="9"/>
      <c r="N117" s="15"/>
      <c r="O117" s="9"/>
      <c r="P117" s="9"/>
      <c r="Q117" s="9"/>
      <c r="R117" s="9"/>
    </row>
    <row r="118" spans="1:18">
      <c r="A118" s="64"/>
      <c r="B118" s="64"/>
      <c r="D118" s="9"/>
      <c r="E118" s="9"/>
      <c r="F118" s="9"/>
      <c r="G118" s="9"/>
      <c r="H118" s="9"/>
      <c r="I118" s="9"/>
      <c r="J118" s="9"/>
      <c r="K118" s="9"/>
      <c r="L118" s="9"/>
      <c r="M118" s="9"/>
      <c r="N118" s="15"/>
      <c r="O118" s="9"/>
      <c r="P118" s="9"/>
      <c r="Q118" s="9"/>
      <c r="R118" s="9"/>
    </row>
    <row r="119" spans="1:18">
      <c r="A119" s="59" t="s">
        <v>15</v>
      </c>
      <c r="B119" s="31" t="s">
        <v>16</v>
      </c>
      <c r="C119" s="60" t="s">
        <v>17</v>
      </c>
      <c r="D119" s="31" t="s">
        <v>18</v>
      </c>
      <c r="E119" s="31" t="s">
        <v>19</v>
      </c>
      <c r="F119" s="31" t="s">
        <v>20</v>
      </c>
      <c r="G119" s="31" t="s">
        <v>21</v>
      </c>
      <c r="H119" s="31" t="s">
        <v>22</v>
      </c>
      <c r="I119" s="31" t="s">
        <v>23</v>
      </c>
      <c r="J119" s="31" t="s">
        <v>24</v>
      </c>
      <c r="K119" s="31" t="s">
        <v>25</v>
      </c>
      <c r="L119" s="31" t="s">
        <v>26</v>
      </c>
      <c r="M119" s="31" t="s">
        <v>27</v>
      </c>
      <c r="N119" s="31" t="s">
        <v>28</v>
      </c>
      <c r="O119" s="31" t="s">
        <v>29</v>
      </c>
      <c r="P119" s="31" t="s">
        <v>30</v>
      </c>
      <c r="Q119" s="31" t="s">
        <v>31</v>
      </c>
      <c r="R119" s="31" t="s">
        <v>32</v>
      </c>
    </row>
    <row r="120" spans="1:18">
      <c r="A120" s="61">
        <v>1778834537535</v>
      </c>
      <c r="B120" s="34">
        <v>116865</v>
      </c>
      <c r="C120" s="6" t="s">
        <v>33</v>
      </c>
      <c r="D120" s="34">
        <v>200</v>
      </c>
      <c r="E120" s="34" t="s">
        <v>34</v>
      </c>
      <c r="F120" s="34" t="s">
        <v>35</v>
      </c>
      <c r="G120" s="34" t="s">
        <v>36</v>
      </c>
      <c r="H120" s="34" t="b">
        <v>1</v>
      </c>
      <c r="I120" s="34"/>
      <c r="J120" s="34">
        <v>207</v>
      </c>
      <c r="K120" s="34">
        <v>461</v>
      </c>
      <c r="L120" s="34">
        <v>1</v>
      </c>
      <c r="M120" s="34">
        <v>1</v>
      </c>
      <c r="N120" s="6" t="s">
        <v>37</v>
      </c>
      <c r="O120" s="34">
        <v>116865</v>
      </c>
      <c r="P120" s="34">
        <v>0</v>
      </c>
      <c r="Q120" s="34">
        <v>1</v>
      </c>
      <c r="R120" s="61"/>
    </row>
    <row r="121" spans="1:18">
      <c r="A121" s="61">
        <v>1778834654397</v>
      </c>
      <c r="B121" s="34">
        <v>204</v>
      </c>
      <c r="C121" s="6" t="s">
        <v>38</v>
      </c>
      <c r="D121" s="34">
        <v>200</v>
      </c>
      <c r="E121" s="34" t="s">
        <v>34</v>
      </c>
      <c r="F121" s="34" t="s">
        <v>35</v>
      </c>
      <c r="G121" s="34" t="s">
        <v>36</v>
      </c>
      <c r="H121" s="34" t="b">
        <v>1</v>
      </c>
      <c r="I121" s="34"/>
      <c r="J121" s="34">
        <v>9863</v>
      </c>
      <c r="K121" s="34">
        <v>346</v>
      </c>
      <c r="L121" s="34">
        <v>1</v>
      </c>
      <c r="M121" s="34">
        <v>1</v>
      </c>
      <c r="N121" s="6" t="s">
        <v>37</v>
      </c>
      <c r="O121" s="34">
        <v>204</v>
      </c>
      <c r="P121" s="34">
        <v>0</v>
      </c>
      <c r="Q121" s="34">
        <v>1</v>
      </c>
      <c r="R121" s="61"/>
    </row>
    <row r="122" spans="1:18">
      <c r="A122" s="61">
        <v>1778834654622</v>
      </c>
      <c r="B122" s="34">
        <v>199</v>
      </c>
      <c r="C122" s="6" t="s">
        <v>39</v>
      </c>
      <c r="D122" s="34">
        <v>200</v>
      </c>
      <c r="E122" s="34" t="s">
        <v>34</v>
      </c>
      <c r="F122" s="34" t="s">
        <v>35</v>
      </c>
      <c r="G122" s="34" t="s">
        <v>36</v>
      </c>
      <c r="H122" s="34" t="b">
        <v>1</v>
      </c>
      <c r="I122" s="34"/>
      <c r="J122" s="34">
        <v>41169</v>
      </c>
      <c r="K122" s="34">
        <v>389</v>
      </c>
      <c r="L122" s="34">
        <v>1</v>
      </c>
      <c r="M122" s="34">
        <v>1</v>
      </c>
      <c r="N122" s="6" t="s">
        <v>37</v>
      </c>
      <c r="O122" s="34">
        <v>199</v>
      </c>
      <c r="P122" s="34">
        <v>0</v>
      </c>
      <c r="Q122" s="34">
        <v>0</v>
      </c>
      <c r="R122" s="61"/>
    </row>
    <row r="123" spans="1:18" ht="15" thickBot="1">
      <c r="A123" s="62">
        <v>1778834654822</v>
      </c>
      <c r="B123" s="39">
        <v>167</v>
      </c>
      <c r="C123" s="63" t="s">
        <v>40</v>
      </c>
      <c r="D123" s="39">
        <v>200</v>
      </c>
      <c r="E123" s="39" t="s">
        <v>34</v>
      </c>
      <c r="F123" s="39" t="s">
        <v>35</v>
      </c>
      <c r="G123" s="39" t="s">
        <v>36</v>
      </c>
      <c r="H123" s="39" t="b">
        <v>1</v>
      </c>
      <c r="I123" s="39"/>
      <c r="J123" s="39">
        <v>676</v>
      </c>
      <c r="K123" s="39">
        <v>374</v>
      </c>
      <c r="L123" s="39">
        <v>1</v>
      </c>
      <c r="M123" s="39">
        <v>1</v>
      </c>
      <c r="N123" s="63" t="s">
        <v>37</v>
      </c>
      <c r="O123" s="39">
        <v>167</v>
      </c>
      <c r="P123" s="39">
        <v>0</v>
      </c>
      <c r="Q123" s="39">
        <v>0</v>
      </c>
      <c r="R123" s="62"/>
    </row>
    <row r="125" spans="1:18">
      <c r="A125" s="169" t="s">
        <v>82</v>
      </c>
      <c r="B125" s="169"/>
      <c r="C125" s="22" t="s">
        <v>83</v>
      </c>
      <c r="D125" s="24"/>
      <c r="E125" s="9"/>
      <c r="F125" s="9"/>
      <c r="G125" s="9"/>
      <c r="H125" s="9"/>
      <c r="I125" s="9"/>
      <c r="J125" s="9"/>
      <c r="K125" s="9"/>
      <c r="L125" s="9"/>
      <c r="M125" s="9"/>
      <c r="N125" s="15"/>
      <c r="O125" s="9"/>
      <c r="P125" s="9"/>
      <c r="Q125" s="9"/>
      <c r="R125" s="9"/>
    </row>
    <row r="126" spans="1:18">
      <c r="A126" s="168" t="s">
        <v>13</v>
      </c>
      <c r="B126" s="168"/>
      <c r="C126" s="27" t="s">
        <v>224</v>
      </c>
      <c r="D126" s="24"/>
      <c r="E126" s="9"/>
      <c r="F126" s="9"/>
      <c r="G126" s="9"/>
      <c r="H126" s="9"/>
      <c r="I126" s="9"/>
      <c r="J126" s="9"/>
      <c r="K126" s="9"/>
      <c r="L126" s="9"/>
      <c r="M126" s="9"/>
      <c r="N126" s="15"/>
      <c r="O126" s="9"/>
      <c r="P126" s="9"/>
      <c r="Q126" s="9"/>
      <c r="R126" s="9"/>
    </row>
    <row r="127" spans="1:18">
      <c r="A127" s="64"/>
      <c r="B127" s="64"/>
      <c r="D127" s="9"/>
      <c r="E127" s="9"/>
      <c r="F127" s="9"/>
      <c r="G127" s="9"/>
      <c r="H127" s="9"/>
      <c r="I127" s="9"/>
      <c r="J127" s="9"/>
      <c r="K127" s="9"/>
      <c r="L127" s="9"/>
      <c r="M127" s="9"/>
      <c r="N127" s="15"/>
      <c r="O127" s="9"/>
      <c r="P127" s="9"/>
      <c r="Q127" s="9"/>
      <c r="R127" s="9"/>
    </row>
    <row r="128" spans="1:18">
      <c r="A128" s="59" t="s">
        <v>15</v>
      </c>
      <c r="B128" s="31" t="s">
        <v>16</v>
      </c>
      <c r="C128" s="60" t="s">
        <v>17</v>
      </c>
      <c r="D128" s="31" t="s">
        <v>18</v>
      </c>
      <c r="E128" s="31" t="s">
        <v>19</v>
      </c>
      <c r="F128" s="31" t="s">
        <v>20</v>
      </c>
      <c r="G128" s="31" t="s">
        <v>21</v>
      </c>
      <c r="H128" s="31" t="s">
        <v>22</v>
      </c>
      <c r="I128" s="31" t="s">
        <v>23</v>
      </c>
      <c r="J128" s="31" t="s">
        <v>24</v>
      </c>
      <c r="K128" s="31" t="s">
        <v>25</v>
      </c>
      <c r="L128" s="31" t="s">
        <v>26</v>
      </c>
      <c r="M128" s="31" t="s">
        <v>27</v>
      </c>
      <c r="N128" s="31" t="s">
        <v>28</v>
      </c>
      <c r="O128" s="31" t="s">
        <v>29</v>
      </c>
      <c r="P128" s="31" t="s">
        <v>30</v>
      </c>
      <c r="Q128" s="31" t="s">
        <v>31</v>
      </c>
      <c r="R128" s="31" t="s">
        <v>32</v>
      </c>
    </row>
    <row r="129" spans="1:18">
      <c r="A129" s="61">
        <v>1778835182143</v>
      </c>
      <c r="B129" s="34">
        <v>297539</v>
      </c>
      <c r="C129" s="6" t="s">
        <v>33</v>
      </c>
      <c r="D129" s="34">
        <v>200</v>
      </c>
      <c r="E129" s="34" t="s">
        <v>34</v>
      </c>
      <c r="F129" s="34" t="s">
        <v>35</v>
      </c>
      <c r="G129" s="34" t="s">
        <v>36</v>
      </c>
      <c r="H129" s="34" t="b">
        <v>1</v>
      </c>
      <c r="I129" s="34"/>
      <c r="J129" s="34">
        <v>207</v>
      </c>
      <c r="K129" s="34">
        <v>472</v>
      </c>
      <c r="L129" s="34">
        <v>1</v>
      </c>
      <c r="M129" s="34">
        <v>1</v>
      </c>
      <c r="N129" s="6" t="s">
        <v>37</v>
      </c>
      <c r="O129" s="34">
        <v>297539</v>
      </c>
      <c r="P129" s="34">
        <v>0</v>
      </c>
      <c r="Q129" s="34">
        <v>2</v>
      </c>
      <c r="R129" s="61"/>
    </row>
    <row r="130" spans="1:18">
      <c r="A130" s="61">
        <v>1778835479675</v>
      </c>
      <c r="B130" s="34">
        <v>204</v>
      </c>
      <c r="C130" s="6" t="s">
        <v>38</v>
      </c>
      <c r="D130" s="34">
        <v>200</v>
      </c>
      <c r="E130" s="34" t="s">
        <v>34</v>
      </c>
      <c r="F130" s="34" t="s">
        <v>35</v>
      </c>
      <c r="G130" s="34" t="s">
        <v>36</v>
      </c>
      <c r="H130" s="34" t="b">
        <v>1</v>
      </c>
      <c r="I130" s="34"/>
      <c r="J130" s="34">
        <v>10277</v>
      </c>
      <c r="K130" s="34">
        <v>346</v>
      </c>
      <c r="L130" s="34">
        <v>1</v>
      </c>
      <c r="M130" s="34">
        <v>1</v>
      </c>
      <c r="N130" s="6" t="s">
        <v>37</v>
      </c>
      <c r="O130" s="34">
        <v>204</v>
      </c>
      <c r="P130" s="34">
        <v>0</v>
      </c>
      <c r="Q130" s="34">
        <v>1</v>
      </c>
      <c r="R130" s="61"/>
    </row>
    <row r="131" spans="1:18">
      <c r="A131" s="61">
        <v>1778835479905</v>
      </c>
      <c r="B131" s="34">
        <v>294</v>
      </c>
      <c r="C131" s="6" t="s">
        <v>39</v>
      </c>
      <c r="D131" s="34">
        <v>200</v>
      </c>
      <c r="E131" s="34" t="s">
        <v>34</v>
      </c>
      <c r="F131" s="34" t="s">
        <v>35</v>
      </c>
      <c r="G131" s="34" t="s">
        <v>36</v>
      </c>
      <c r="H131" s="34" t="b">
        <v>1</v>
      </c>
      <c r="I131" s="34"/>
      <c r="J131" s="34">
        <v>126228</v>
      </c>
      <c r="K131" s="34">
        <v>389</v>
      </c>
      <c r="L131" s="34">
        <v>1</v>
      </c>
      <c r="M131" s="34">
        <v>1</v>
      </c>
      <c r="N131" s="6" t="s">
        <v>37</v>
      </c>
      <c r="O131" s="34">
        <v>294</v>
      </c>
      <c r="P131" s="34">
        <v>0</v>
      </c>
      <c r="Q131" s="34">
        <v>0</v>
      </c>
      <c r="R131" s="61"/>
    </row>
    <row r="132" spans="1:18" ht="15" thickBot="1">
      <c r="A132" s="62">
        <v>1778835480200</v>
      </c>
      <c r="B132" s="39">
        <v>154</v>
      </c>
      <c r="C132" s="63" t="s">
        <v>40</v>
      </c>
      <c r="D132" s="39">
        <v>200</v>
      </c>
      <c r="E132" s="39" t="s">
        <v>34</v>
      </c>
      <c r="F132" s="39" t="s">
        <v>35</v>
      </c>
      <c r="G132" s="39" t="s">
        <v>36</v>
      </c>
      <c r="H132" s="39" t="b">
        <v>1</v>
      </c>
      <c r="I132" s="39"/>
      <c r="J132" s="39">
        <v>676</v>
      </c>
      <c r="K132" s="39">
        <v>375</v>
      </c>
      <c r="L132" s="39">
        <v>1</v>
      </c>
      <c r="M132" s="39">
        <v>1</v>
      </c>
      <c r="N132" s="63" t="s">
        <v>37</v>
      </c>
      <c r="O132" s="39">
        <v>154</v>
      </c>
      <c r="P132" s="39">
        <v>0</v>
      </c>
      <c r="Q132" s="39">
        <v>0</v>
      </c>
      <c r="R132" s="62"/>
    </row>
    <row r="134" spans="1:18">
      <c r="A134" s="169" t="s">
        <v>85</v>
      </c>
      <c r="B134" s="169"/>
      <c r="C134" s="22" t="s">
        <v>86</v>
      </c>
      <c r="D134" s="24"/>
      <c r="E134" s="9"/>
      <c r="F134" s="9"/>
      <c r="G134" s="9"/>
      <c r="H134" s="9"/>
      <c r="I134" s="9"/>
      <c r="J134" s="9"/>
      <c r="K134" s="9"/>
      <c r="L134" s="9"/>
      <c r="M134" s="9"/>
      <c r="N134" s="15"/>
      <c r="O134" s="9"/>
      <c r="P134" s="9"/>
      <c r="Q134" s="9"/>
      <c r="R134" s="9"/>
    </row>
    <row r="135" spans="1:18">
      <c r="A135" s="168" t="s">
        <v>13</v>
      </c>
      <c r="B135" s="168"/>
      <c r="C135" s="58" t="s">
        <v>228</v>
      </c>
      <c r="D135" s="24"/>
      <c r="E135" s="9"/>
      <c r="F135" s="9"/>
      <c r="G135" s="9"/>
      <c r="H135" s="9"/>
      <c r="I135" s="9"/>
      <c r="J135" s="9"/>
      <c r="K135" s="9"/>
      <c r="L135" s="9"/>
      <c r="M135" s="9"/>
      <c r="N135" s="15"/>
      <c r="O135" s="9"/>
      <c r="P135" s="9"/>
      <c r="Q135" s="9"/>
      <c r="R135" s="9"/>
    </row>
    <row r="136" spans="1:18">
      <c r="A136" s="64"/>
      <c r="B136" s="64"/>
      <c r="D136" s="9"/>
      <c r="E136" s="9"/>
      <c r="F136" s="9"/>
      <c r="G136" s="9"/>
      <c r="H136" s="9"/>
      <c r="I136" s="9"/>
      <c r="J136" s="9"/>
      <c r="K136" s="9"/>
      <c r="L136" s="9"/>
      <c r="M136" s="9"/>
      <c r="N136" s="15"/>
      <c r="O136" s="9"/>
      <c r="P136" s="9"/>
      <c r="Q136" s="9"/>
      <c r="R136" s="9"/>
    </row>
    <row r="137" spans="1:18">
      <c r="A137" s="59" t="s">
        <v>15</v>
      </c>
      <c r="B137" s="31" t="s">
        <v>16</v>
      </c>
      <c r="C137" s="60" t="s">
        <v>17</v>
      </c>
      <c r="D137" s="31" t="s">
        <v>18</v>
      </c>
      <c r="E137" s="31" t="s">
        <v>19</v>
      </c>
      <c r="F137" s="31" t="s">
        <v>20</v>
      </c>
      <c r="G137" s="31" t="s">
        <v>21</v>
      </c>
      <c r="H137" s="31" t="s">
        <v>22</v>
      </c>
      <c r="I137" s="31" t="s">
        <v>23</v>
      </c>
      <c r="J137" s="31" t="s">
        <v>24</v>
      </c>
      <c r="K137" s="31" t="s">
        <v>25</v>
      </c>
      <c r="L137" s="31" t="s">
        <v>26</v>
      </c>
      <c r="M137" s="31" t="s">
        <v>27</v>
      </c>
      <c r="N137" s="31" t="s">
        <v>28</v>
      </c>
      <c r="O137" s="31" t="s">
        <v>29</v>
      </c>
      <c r="P137" s="31" t="s">
        <v>30</v>
      </c>
      <c r="Q137" s="31" t="s">
        <v>31</v>
      </c>
      <c r="R137" s="31" t="s">
        <v>32</v>
      </c>
    </row>
    <row r="138" spans="1:18">
      <c r="A138" s="61">
        <v>1778836069380</v>
      </c>
      <c r="B138" s="34">
        <v>31994</v>
      </c>
      <c r="C138" s="6" t="s">
        <v>33</v>
      </c>
      <c r="D138" s="34">
        <v>200</v>
      </c>
      <c r="E138" s="34" t="s">
        <v>34</v>
      </c>
      <c r="F138" s="34" t="s">
        <v>35</v>
      </c>
      <c r="G138" s="34" t="s">
        <v>36</v>
      </c>
      <c r="H138" s="34" t="b">
        <v>1</v>
      </c>
      <c r="I138" s="34"/>
      <c r="J138" s="34">
        <v>207</v>
      </c>
      <c r="K138" s="34">
        <v>472</v>
      </c>
      <c r="L138" s="34">
        <v>1</v>
      </c>
      <c r="M138" s="34">
        <v>1</v>
      </c>
      <c r="N138" s="6" t="s">
        <v>37</v>
      </c>
      <c r="O138" s="34">
        <v>31994</v>
      </c>
      <c r="P138" s="34">
        <v>0</v>
      </c>
      <c r="Q138" s="34">
        <v>1</v>
      </c>
      <c r="R138" s="61"/>
    </row>
    <row r="139" spans="1:18">
      <c r="A139" s="61">
        <v>1778836101376</v>
      </c>
      <c r="B139" s="34">
        <v>198</v>
      </c>
      <c r="C139" s="6" t="s">
        <v>38</v>
      </c>
      <c r="D139" s="34">
        <v>200</v>
      </c>
      <c r="E139" s="34" t="s">
        <v>34</v>
      </c>
      <c r="F139" s="34" t="s">
        <v>35</v>
      </c>
      <c r="G139" s="34" t="s">
        <v>36</v>
      </c>
      <c r="H139" s="34" t="b">
        <v>1</v>
      </c>
      <c r="I139" s="34"/>
      <c r="J139" s="34">
        <v>10689</v>
      </c>
      <c r="K139" s="34">
        <v>346</v>
      </c>
      <c r="L139" s="34">
        <v>1</v>
      </c>
      <c r="M139" s="34">
        <v>1</v>
      </c>
      <c r="N139" s="6" t="s">
        <v>37</v>
      </c>
      <c r="O139" s="34">
        <v>198</v>
      </c>
      <c r="P139" s="34">
        <v>0</v>
      </c>
      <c r="Q139" s="34">
        <v>0</v>
      </c>
      <c r="R139" s="61"/>
    </row>
    <row r="140" spans="1:18">
      <c r="A140" s="61">
        <v>1778836101601</v>
      </c>
      <c r="B140" s="34">
        <v>163</v>
      </c>
      <c r="C140" s="6" t="s">
        <v>39</v>
      </c>
      <c r="D140" s="34">
        <v>200</v>
      </c>
      <c r="E140" s="34" t="s">
        <v>34</v>
      </c>
      <c r="F140" s="34" t="s">
        <v>35</v>
      </c>
      <c r="G140" s="34" t="s">
        <v>36</v>
      </c>
      <c r="H140" s="34" t="b">
        <v>1</v>
      </c>
      <c r="I140" s="34"/>
      <c r="J140" s="34">
        <v>12539</v>
      </c>
      <c r="K140" s="34">
        <v>389</v>
      </c>
      <c r="L140" s="34">
        <v>1</v>
      </c>
      <c r="M140" s="34">
        <v>1</v>
      </c>
      <c r="N140" s="6" t="s">
        <v>37</v>
      </c>
      <c r="O140" s="34">
        <v>163</v>
      </c>
      <c r="P140" s="34">
        <v>0</v>
      </c>
      <c r="Q140" s="34">
        <v>0</v>
      </c>
      <c r="R140" s="61"/>
    </row>
    <row r="141" spans="1:18" ht="15" thickBot="1">
      <c r="A141" s="62">
        <v>1778836101765</v>
      </c>
      <c r="B141" s="39">
        <v>158</v>
      </c>
      <c r="C141" s="63" t="s">
        <v>40</v>
      </c>
      <c r="D141" s="39">
        <v>200</v>
      </c>
      <c r="E141" s="39" t="s">
        <v>34</v>
      </c>
      <c r="F141" s="39" t="s">
        <v>35</v>
      </c>
      <c r="G141" s="39" t="s">
        <v>36</v>
      </c>
      <c r="H141" s="39" t="b">
        <v>1</v>
      </c>
      <c r="I141" s="39"/>
      <c r="J141" s="39">
        <v>676</v>
      </c>
      <c r="K141" s="39">
        <v>374</v>
      </c>
      <c r="L141" s="39">
        <v>1</v>
      </c>
      <c r="M141" s="39">
        <v>1</v>
      </c>
      <c r="N141" s="63" t="s">
        <v>37</v>
      </c>
      <c r="O141" s="39">
        <v>158</v>
      </c>
      <c r="P141" s="39">
        <v>0</v>
      </c>
      <c r="Q141" s="39">
        <v>0</v>
      </c>
      <c r="R141" s="62"/>
    </row>
    <row r="143" spans="1:18">
      <c r="A143" s="169" t="s">
        <v>88</v>
      </c>
      <c r="B143" s="169"/>
      <c r="C143" s="22" t="s">
        <v>89</v>
      </c>
      <c r="D143" s="24"/>
      <c r="E143" s="9"/>
      <c r="F143" s="9"/>
      <c r="G143" s="9"/>
      <c r="H143" s="9"/>
      <c r="I143" s="9"/>
      <c r="J143" s="9"/>
      <c r="K143" s="9"/>
      <c r="L143" s="9"/>
      <c r="M143" s="9"/>
      <c r="N143" s="15"/>
      <c r="O143" s="9"/>
      <c r="P143" s="9"/>
      <c r="Q143" s="9"/>
      <c r="R143" s="9"/>
    </row>
    <row r="144" spans="1:18">
      <c r="A144" s="168" t="s">
        <v>13</v>
      </c>
      <c r="B144" s="168"/>
      <c r="C144" s="58" t="s">
        <v>232</v>
      </c>
      <c r="D144" s="24"/>
      <c r="E144" s="9"/>
      <c r="F144" s="9"/>
      <c r="G144" s="9"/>
      <c r="H144" s="9"/>
      <c r="I144" s="9"/>
      <c r="J144" s="9"/>
      <c r="K144" s="9"/>
      <c r="L144" s="9"/>
      <c r="M144" s="9"/>
      <c r="N144" s="15"/>
      <c r="O144" s="9"/>
      <c r="P144" s="9"/>
      <c r="Q144" s="9"/>
      <c r="R144" s="9"/>
    </row>
    <row r="145" spans="1:18">
      <c r="A145" s="64"/>
      <c r="B145" s="64"/>
      <c r="D145" s="9"/>
      <c r="E145" s="9"/>
      <c r="F145" s="9"/>
      <c r="G145" s="9"/>
      <c r="H145" s="9"/>
      <c r="I145" s="9"/>
      <c r="J145" s="9"/>
      <c r="K145" s="9"/>
      <c r="L145" s="9"/>
      <c r="M145" s="9"/>
      <c r="N145" s="15"/>
      <c r="O145" s="9"/>
      <c r="P145" s="9"/>
      <c r="Q145" s="9"/>
      <c r="R145" s="9"/>
    </row>
    <row r="146" spans="1:18">
      <c r="A146" s="59" t="s">
        <v>15</v>
      </c>
      <c r="B146" s="31" t="s">
        <v>16</v>
      </c>
      <c r="C146" s="60" t="s">
        <v>17</v>
      </c>
      <c r="D146" s="31" t="s">
        <v>18</v>
      </c>
      <c r="E146" s="31" t="s">
        <v>19</v>
      </c>
      <c r="F146" s="31" t="s">
        <v>20</v>
      </c>
      <c r="G146" s="31" t="s">
        <v>21</v>
      </c>
      <c r="H146" s="31" t="s">
        <v>22</v>
      </c>
      <c r="I146" s="31" t="s">
        <v>23</v>
      </c>
      <c r="J146" s="31" t="s">
        <v>24</v>
      </c>
      <c r="K146" s="31" t="s">
        <v>25</v>
      </c>
      <c r="L146" s="31" t="s">
        <v>26</v>
      </c>
      <c r="M146" s="31" t="s">
        <v>27</v>
      </c>
      <c r="N146" s="31" t="s">
        <v>28</v>
      </c>
      <c r="O146" s="31" t="s">
        <v>29</v>
      </c>
      <c r="P146" s="31" t="s">
        <v>30</v>
      </c>
      <c r="Q146" s="31" t="s">
        <v>31</v>
      </c>
      <c r="R146" s="31" t="s">
        <v>32</v>
      </c>
    </row>
    <row r="147" spans="1:18">
      <c r="A147" s="61">
        <v>1778836637914</v>
      </c>
      <c r="B147" s="34">
        <v>53503</v>
      </c>
      <c r="C147" s="6" t="s">
        <v>33</v>
      </c>
      <c r="D147" s="34">
        <v>200</v>
      </c>
      <c r="E147" s="34" t="s">
        <v>34</v>
      </c>
      <c r="F147" s="34" t="s">
        <v>35</v>
      </c>
      <c r="G147" s="34" t="s">
        <v>36</v>
      </c>
      <c r="H147" s="34" t="b">
        <v>1</v>
      </c>
      <c r="I147" s="34"/>
      <c r="J147" s="34">
        <v>207</v>
      </c>
      <c r="K147" s="34">
        <v>470</v>
      </c>
      <c r="L147" s="34">
        <v>1</v>
      </c>
      <c r="M147" s="34">
        <v>1</v>
      </c>
      <c r="N147" s="6" t="s">
        <v>37</v>
      </c>
      <c r="O147" s="34">
        <v>53503</v>
      </c>
      <c r="P147" s="34">
        <v>0</v>
      </c>
      <c r="Q147" s="34">
        <v>2</v>
      </c>
      <c r="R147" s="61"/>
    </row>
    <row r="148" spans="1:18">
      <c r="A148" s="61">
        <v>1778836691416</v>
      </c>
      <c r="B148" s="34">
        <v>210</v>
      </c>
      <c r="C148" s="6" t="s">
        <v>38</v>
      </c>
      <c r="D148" s="34">
        <v>200</v>
      </c>
      <c r="E148" s="34" t="s">
        <v>34</v>
      </c>
      <c r="F148" s="34" t="s">
        <v>35</v>
      </c>
      <c r="G148" s="34" t="s">
        <v>36</v>
      </c>
      <c r="H148" s="34" t="b">
        <v>1</v>
      </c>
      <c r="I148" s="34"/>
      <c r="J148" s="34">
        <v>11097</v>
      </c>
      <c r="K148" s="34">
        <v>346</v>
      </c>
      <c r="L148" s="34">
        <v>1</v>
      </c>
      <c r="M148" s="34">
        <v>1</v>
      </c>
      <c r="N148" s="6" t="s">
        <v>37</v>
      </c>
      <c r="O148" s="34">
        <v>210</v>
      </c>
      <c r="P148" s="34">
        <v>0</v>
      </c>
      <c r="Q148" s="34">
        <v>0</v>
      </c>
      <c r="R148" s="61"/>
    </row>
    <row r="149" spans="1:18">
      <c r="A149" s="61">
        <v>1778836691647</v>
      </c>
      <c r="B149" s="34">
        <v>159</v>
      </c>
      <c r="C149" s="6" t="s">
        <v>39</v>
      </c>
      <c r="D149" s="34">
        <v>200</v>
      </c>
      <c r="E149" s="34" t="s">
        <v>34</v>
      </c>
      <c r="F149" s="34" t="s">
        <v>35</v>
      </c>
      <c r="G149" s="34" t="s">
        <v>36</v>
      </c>
      <c r="H149" s="34" t="b">
        <v>1</v>
      </c>
      <c r="I149" s="34"/>
      <c r="J149" s="34">
        <v>20239</v>
      </c>
      <c r="K149" s="34">
        <v>389</v>
      </c>
      <c r="L149" s="34">
        <v>1</v>
      </c>
      <c r="M149" s="34">
        <v>1</v>
      </c>
      <c r="N149" s="6" t="s">
        <v>37</v>
      </c>
      <c r="O149" s="34">
        <v>159</v>
      </c>
      <c r="P149" s="34">
        <v>0</v>
      </c>
      <c r="Q149" s="34">
        <v>0</v>
      </c>
      <c r="R149" s="61"/>
    </row>
    <row r="150" spans="1:18" ht="15" thickBot="1">
      <c r="A150" s="62">
        <v>1778836691807</v>
      </c>
      <c r="B150" s="39">
        <v>150</v>
      </c>
      <c r="C150" s="63" t="s">
        <v>40</v>
      </c>
      <c r="D150" s="39">
        <v>200</v>
      </c>
      <c r="E150" s="39" t="s">
        <v>34</v>
      </c>
      <c r="F150" s="39" t="s">
        <v>35</v>
      </c>
      <c r="G150" s="39" t="s">
        <v>36</v>
      </c>
      <c r="H150" s="39" t="b">
        <v>1</v>
      </c>
      <c r="I150" s="39"/>
      <c r="J150" s="39">
        <v>1751</v>
      </c>
      <c r="K150" s="39">
        <v>374</v>
      </c>
      <c r="L150" s="39">
        <v>1</v>
      </c>
      <c r="M150" s="39">
        <v>1</v>
      </c>
      <c r="N150" s="63" t="s">
        <v>37</v>
      </c>
      <c r="O150" s="39">
        <v>150</v>
      </c>
      <c r="P150" s="39">
        <v>0</v>
      </c>
      <c r="Q150" s="39">
        <v>0</v>
      </c>
      <c r="R150" s="62"/>
    </row>
    <row r="152" spans="1:18">
      <c r="A152" s="169" t="s">
        <v>91</v>
      </c>
      <c r="B152" s="169"/>
      <c r="C152" s="22" t="s">
        <v>89</v>
      </c>
      <c r="D152" s="24"/>
      <c r="E152" s="9"/>
      <c r="F152" s="9"/>
      <c r="G152" s="9"/>
      <c r="H152" s="9"/>
      <c r="I152" s="9"/>
      <c r="J152" s="9"/>
      <c r="K152" s="9"/>
      <c r="L152" s="9"/>
      <c r="M152" s="9"/>
      <c r="N152" s="15"/>
      <c r="O152" s="9"/>
      <c r="P152" s="9"/>
      <c r="Q152" s="9"/>
      <c r="R152" s="9"/>
    </row>
    <row r="153" spans="1:18">
      <c r="A153" s="168" t="s">
        <v>13</v>
      </c>
      <c r="B153" s="168"/>
      <c r="C153" s="58" t="s">
        <v>236</v>
      </c>
      <c r="D153" s="24"/>
      <c r="E153" s="9"/>
      <c r="F153" s="9"/>
      <c r="G153" s="9"/>
      <c r="H153" s="9"/>
      <c r="I153" s="9"/>
      <c r="J153" s="9"/>
      <c r="K153" s="9"/>
      <c r="L153" s="9"/>
      <c r="M153" s="9"/>
      <c r="N153" s="15"/>
      <c r="O153" s="9"/>
      <c r="P153" s="9"/>
      <c r="Q153" s="9"/>
      <c r="R153" s="9"/>
    </row>
    <row r="154" spans="1:18">
      <c r="A154" s="64"/>
      <c r="B154" s="64"/>
      <c r="D154" s="9"/>
      <c r="E154" s="9"/>
      <c r="F154" s="9"/>
      <c r="G154" s="9"/>
      <c r="H154" s="9"/>
      <c r="I154" s="9"/>
      <c r="J154" s="9"/>
      <c r="K154" s="9"/>
      <c r="L154" s="9"/>
      <c r="M154" s="9"/>
      <c r="N154" s="15"/>
      <c r="O154" s="9"/>
      <c r="P154" s="9"/>
      <c r="Q154" s="9"/>
      <c r="R154" s="9"/>
    </row>
    <row r="155" spans="1:18">
      <c r="A155" s="59" t="s">
        <v>15</v>
      </c>
      <c r="B155" s="31" t="s">
        <v>16</v>
      </c>
      <c r="C155" s="60" t="s">
        <v>17</v>
      </c>
      <c r="D155" s="31" t="s">
        <v>18</v>
      </c>
      <c r="E155" s="31" t="s">
        <v>19</v>
      </c>
      <c r="F155" s="31" t="s">
        <v>20</v>
      </c>
      <c r="G155" s="31" t="s">
        <v>21</v>
      </c>
      <c r="H155" s="31" t="s">
        <v>22</v>
      </c>
      <c r="I155" s="31" t="s">
        <v>23</v>
      </c>
      <c r="J155" s="31" t="s">
        <v>24</v>
      </c>
      <c r="K155" s="31" t="s">
        <v>25</v>
      </c>
      <c r="L155" s="31" t="s">
        <v>26</v>
      </c>
      <c r="M155" s="31" t="s">
        <v>27</v>
      </c>
      <c r="N155" s="31" t="s">
        <v>28</v>
      </c>
      <c r="O155" s="31" t="s">
        <v>29</v>
      </c>
      <c r="P155" s="31" t="s">
        <v>30</v>
      </c>
      <c r="Q155" s="31" t="s">
        <v>31</v>
      </c>
      <c r="R155" s="31" t="s">
        <v>32</v>
      </c>
    </row>
    <row r="156" spans="1:18">
      <c r="A156" s="61">
        <v>1778837374528</v>
      </c>
      <c r="B156" s="34">
        <v>1197</v>
      </c>
      <c r="C156" s="6" t="s">
        <v>33</v>
      </c>
      <c r="D156" s="34">
        <v>200</v>
      </c>
      <c r="E156" s="34" t="s">
        <v>34</v>
      </c>
      <c r="F156" s="34" t="s">
        <v>35</v>
      </c>
      <c r="G156" s="34" t="s">
        <v>36</v>
      </c>
      <c r="H156" s="34" t="b">
        <v>1</v>
      </c>
      <c r="I156" s="34"/>
      <c r="J156" s="34">
        <v>207</v>
      </c>
      <c r="K156" s="34">
        <v>466</v>
      </c>
      <c r="L156" s="34">
        <v>1</v>
      </c>
      <c r="M156" s="34">
        <v>1</v>
      </c>
      <c r="N156" s="6" t="s">
        <v>37</v>
      </c>
      <c r="O156" s="34">
        <v>1197</v>
      </c>
      <c r="P156" s="34">
        <v>0</v>
      </c>
      <c r="Q156" s="34">
        <v>2</v>
      </c>
      <c r="R156" s="61"/>
    </row>
    <row r="157" spans="1:18">
      <c r="A157" s="61">
        <v>1778837375726</v>
      </c>
      <c r="B157" s="34">
        <v>200</v>
      </c>
      <c r="C157" s="6" t="s">
        <v>38</v>
      </c>
      <c r="D157" s="34">
        <v>200</v>
      </c>
      <c r="E157" s="34" t="s">
        <v>34</v>
      </c>
      <c r="F157" s="34" t="s">
        <v>35</v>
      </c>
      <c r="G157" s="34" t="s">
        <v>36</v>
      </c>
      <c r="H157" s="34" t="b">
        <v>1</v>
      </c>
      <c r="I157" s="34"/>
      <c r="J157" s="34">
        <v>11493</v>
      </c>
      <c r="K157" s="34">
        <v>346</v>
      </c>
      <c r="L157" s="34">
        <v>1</v>
      </c>
      <c r="M157" s="34">
        <v>1</v>
      </c>
      <c r="N157" s="6" t="s">
        <v>37</v>
      </c>
      <c r="O157" s="34">
        <v>200</v>
      </c>
      <c r="P157" s="34">
        <v>0</v>
      </c>
      <c r="Q157" s="34">
        <v>0</v>
      </c>
      <c r="R157" s="61"/>
    </row>
    <row r="158" spans="1:18">
      <c r="A158" s="61">
        <v>1778837375947</v>
      </c>
      <c r="B158" s="34">
        <v>144</v>
      </c>
      <c r="C158" s="6" t="s">
        <v>39</v>
      </c>
      <c r="D158" s="34">
        <v>200</v>
      </c>
      <c r="E158" s="34" t="s">
        <v>34</v>
      </c>
      <c r="F158" s="34" t="s">
        <v>35</v>
      </c>
      <c r="G158" s="34" t="s">
        <v>36</v>
      </c>
      <c r="H158" s="34" t="b">
        <v>1</v>
      </c>
      <c r="I158" s="34"/>
      <c r="J158" s="34">
        <v>220</v>
      </c>
      <c r="K158" s="34">
        <v>389</v>
      </c>
      <c r="L158" s="34">
        <v>1</v>
      </c>
      <c r="M158" s="34">
        <v>1</v>
      </c>
      <c r="N158" s="6" t="s">
        <v>37</v>
      </c>
      <c r="O158" s="34">
        <v>144</v>
      </c>
      <c r="P158" s="34">
        <v>0</v>
      </c>
      <c r="Q158" s="34">
        <v>0</v>
      </c>
      <c r="R158" s="61"/>
    </row>
    <row r="159" spans="1:18" ht="15" thickBot="1">
      <c r="A159" s="62">
        <v>1778837376091</v>
      </c>
      <c r="B159" s="39">
        <v>150</v>
      </c>
      <c r="C159" s="63" t="s">
        <v>40</v>
      </c>
      <c r="D159" s="39">
        <v>200</v>
      </c>
      <c r="E159" s="39" t="s">
        <v>34</v>
      </c>
      <c r="F159" s="39" t="s">
        <v>35</v>
      </c>
      <c r="G159" s="39" t="s">
        <v>36</v>
      </c>
      <c r="H159" s="39" t="b">
        <v>1</v>
      </c>
      <c r="I159" s="39"/>
      <c r="J159" s="39">
        <v>542</v>
      </c>
      <c r="K159" s="39">
        <v>371</v>
      </c>
      <c r="L159" s="39">
        <v>1</v>
      </c>
      <c r="M159" s="39">
        <v>1</v>
      </c>
      <c r="N159" s="63" t="s">
        <v>37</v>
      </c>
      <c r="O159" s="39">
        <v>150</v>
      </c>
      <c r="P159" s="39">
        <v>0</v>
      </c>
      <c r="Q159" s="39">
        <v>0</v>
      </c>
      <c r="R159" s="62"/>
    </row>
    <row r="161" spans="1:18">
      <c r="A161" s="169" t="s">
        <v>93</v>
      </c>
      <c r="B161" s="169"/>
      <c r="C161" s="22" t="s">
        <v>94</v>
      </c>
      <c r="D161" s="24"/>
      <c r="E161" s="9"/>
      <c r="F161" s="9"/>
      <c r="G161" s="9"/>
      <c r="H161" s="9"/>
      <c r="I161" s="9"/>
      <c r="J161" s="9"/>
      <c r="K161" s="9"/>
      <c r="L161" s="9"/>
      <c r="M161" s="9"/>
      <c r="N161" s="15"/>
      <c r="O161" s="9"/>
      <c r="P161" s="9"/>
      <c r="Q161" s="9"/>
      <c r="R161" s="9"/>
    </row>
    <row r="162" spans="1:18">
      <c r="A162" s="168" t="s">
        <v>13</v>
      </c>
      <c r="B162" s="168"/>
      <c r="C162" s="27" t="s">
        <v>240</v>
      </c>
      <c r="D162" s="24"/>
      <c r="E162" s="9"/>
      <c r="F162" s="9"/>
      <c r="G162" s="9"/>
      <c r="H162" s="9"/>
      <c r="I162" s="9"/>
      <c r="J162" s="9"/>
      <c r="K162" s="9"/>
      <c r="L162" s="9"/>
      <c r="M162" s="9"/>
      <c r="N162" s="15"/>
      <c r="O162" s="9"/>
      <c r="P162" s="9"/>
      <c r="Q162" s="9"/>
      <c r="R162" s="9"/>
    </row>
    <row r="163" spans="1:18">
      <c r="A163" s="64"/>
      <c r="B163" s="64"/>
      <c r="D163" s="9"/>
      <c r="E163" s="9"/>
      <c r="F163" s="9"/>
      <c r="G163" s="9"/>
      <c r="H163" s="9"/>
      <c r="I163" s="9"/>
      <c r="J163" s="9"/>
      <c r="K163" s="9"/>
      <c r="L163" s="9"/>
      <c r="M163" s="9"/>
      <c r="N163" s="15"/>
      <c r="O163" s="9"/>
      <c r="P163" s="9"/>
      <c r="Q163" s="9"/>
      <c r="R163" s="9"/>
    </row>
    <row r="164" spans="1:18">
      <c r="A164" s="59" t="s">
        <v>15</v>
      </c>
      <c r="B164" s="31" t="s">
        <v>16</v>
      </c>
      <c r="C164" s="60" t="s">
        <v>17</v>
      </c>
      <c r="D164" s="31" t="s">
        <v>18</v>
      </c>
      <c r="E164" s="31" t="s">
        <v>19</v>
      </c>
      <c r="F164" s="31" t="s">
        <v>20</v>
      </c>
      <c r="G164" s="31" t="s">
        <v>21</v>
      </c>
      <c r="H164" s="31" t="s">
        <v>22</v>
      </c>
      <c r="I164" s="31" t="s">
        <v>23</v>
      </c>
      <c r="J164" s="31" t="s">
        <v>24</v>
      </c>
      <c r="K164" s="31" t="s">
        <v>25</v>
      </c>
      <c r="L164" s="31" t="s">
        <v>26</v>
      </c>
      <c r="M164" s="31" t="s">
        <v>27</v>
      </c>
      <c r="N164" s="31" t="s">
        <v>28</v>
      </c>
      <c r="O164" s="31" t="s">
        <v>29</v>
      </c>
      <c r="P164" s="31" t="s">
        <v>30</v>
      </c>
      <c r="Q164" s="31" t="s">
        <v>31</v>
      </c>
      <c r="R164" s="31" t="s">
        <v>32</v>
      </c>
    </row>
    <row r="165" spans="1:18">
      <c r="A165" s="61">
        <v>1778837836294</v>
      </c>
      <c r="B165" s="34">
        <v>13201</v>
      </c>
      <c r="C165" s="6" t="s">
        <v>33</v>
      </c>
      <c r="D165" s="34">
        <v>200</v>
      </c>
      <c r="E165" s="34" t="s">
        <v>34</v>
      </c>
      <c r="F165" s="34" t="s">
        <v>35</v>
      </c>
      <c r="G165" s="34" t="s">
        <v>36</v>
      </c>
      <c r="H165" s="34" t="b">
        <v>1</v>
      </c>
      <c r="I165" s="34"/>
      <c r="J165" s="34">
        <v>207</v>
      </c>
      <c r="K165" s="34">
        <v>465</v>
      </c>
      <c r="L165" s="34">
        <v>1</v>
      </c>
      <c r="M165" s="34">
        <v>1</v>
      </c>
      <c r="N165" s="6" t="s">
        <v>37</v>
      </c>
      <c r="O165" s="34">
        <v>13201</v>
      </c>
      <c r="P165" s="34">
        <v>0</v>
      </c>
      <c r="Q165" s="34">
        <v>1</v>
      </c>
      <c r="R165" s="61"/>
    </row>
    <row r="166" spans="1:18">
      <c r="A166" s="61">
        <v>1778837849497</v>
      </c>
      <c r="B166" s="34">
        <v>192</v>
      </c>
      <c r="C166" s="6" t="s">
        <v>38</v>
      </c>
      <c r="D166" s="34">
        <v>200</v>
      </c>
      <c r="E166" s="34" t="s">
        <v>34</v>
      </c>
      <c r="F166" s="34" t="s">
        <v>35</v>
      </c>
      <c r="G166" s="34" t="s">
        <v>36</v>
      </c>
      <c r="H166" s="34" t="b">
        <v>1</v>
      </c>
      <c r="I166" s="34"/>
      <c r="J166" s="34">
        <v>11891</v>
      </c>
      <c r="K166" s="34">
        <v>346</v>
      </c>
      <c r="L166" s="34">
        <v>1</v>
      </c>
      <c r="M166" s="34">
        <v>1</v>
      </c>
      <c r="N166" s="6" t="s">
        <v>37</v>
      </c>
      <c r="O166" s="34">
        <v>192</v>
      </c>
      <c r="P166" s="34">
        <v>0</v>
      </c>
      <c r="Q166" s="34">
        <v>0</v>
      </c>
      <c r="R166" s="61"/>
    </row>
    <row r="167" spans="1:18">
      <c r="A167" s="61">
        <v>1778837849711</v>
      </c>
      <c r="B167" s="34">
        <v>143</v>
      </c>
      <c r="C167" s="6" t="s">
        <v>39</v>
      </c>
      <c r="D167" s="34">
        <v>200</v>
      </c>
      <c r="E167" s="34" t="s">
        <v>34</v>
      </c>
      <c r="F167" s="34" t="s">
        <v>35</v>
      </c>
      <c r="G167" s="34" t="s">
        <v>36</v>
      </c>
      <c r="H167" s="34" t="b">
        <v>1</v>
      </c>
      <c r="I167" s="34"/>
      <c r="J167" s="34">
        <v>6300</v>
      </c>
      <c r="K167" s="34">
        <v>389</v>
      </c>
      <c r="L167" s="34">
        <v>1</v>
      </c>
      <c r="M167" s="34">
        <v>1</v>
      </c>
      <c r="N167" s="6" t="s">
        <v>37</v>
      </c>
      <c r="O167" s="34">
        <v>143</v>
      </c>
      <c r="P167" s="34">
        <v>0</v>
      </c>
      <c r="Q167" s="34">
        <v>0</v>
      </c>
      <c r="R167" s="61"/>
    </row>
    <row r="168" spans="1:18" ht="15" thickBot="1">
      <c r="A168" s="62">
        <v>1778837849854</v>
      </c>
      <c r="B168" s="39">
        <v>135</v>
      </c>
      <c r="C168" s="63" t="s">
        <v>40</v>
      </c>
      <c r="D168" s="39">
        <v>200</v>
      </c>
      <c r="E168" s="39" t="s">
        <v>34</v>
      </c>
      <c r="F168" s="39" t="s">
        <v>35</v>
      </c>
      <c r="G168" s="39" t="s">
        <v>36</v>
      </c>
      <c r="H168" s="39" t="b">
        <v>1</v>
      </c>
      <c r="I168" s="39"/>
      <c r="J168" s="39">
        <v>538</v>
      </c>
      <c r="K168" s="39">
        <v>373</v>
      </c>
      <c r="L168" s="39">
        <v>1</v>
      </c>
      <c r="M168" s="39">
        <v>1</v>
      </c>
      <c r="N168" s="63" t="s">
        <v>37</v>
      </c>
      <c r="O168" s="39">
        <v>135</v>
      </c>
      <c r="P168" s="39">
        <v>0</v>
      </c>
      <c r="Q168" s="39">
        <v>0</v>
      </c>
      <c r="R168" s="62"/>
    </row>
    <row r="170" spans="1:18">
      <c r="A170" s="169" t="s">
        <v>96</v>
      </c>
      <c r="B170" s="169"/>
      <c r="C170" s="22" t="s">
        <v>186</v>
      </c>
      <c r="D170" s="24"/>
      <c r="E170" s="9"/>
      <c r="F170" s="9"/>
      <c r="G170" s="9"/>
      <c r="H170" s="9"/>
      <c r="I170" s="9"/>
      <c r="J170" s="9"/>
      <c r="K170" s="9"/>
      <c r="L170" s="9"/>
      <c r="M170" s="9"/>
      <c r="N170" s="15"/>
      <c r="O170" s="9"/>
      <c r="P170" s="9"/>
      <c r="Q170" s="9"/>
      <c r="R170" s="9"/>
    </row>
    <row r="171" spans="1:18">
      <c r="A171" s="168" t="s">
        <v>13</v>
      </c>
      <c r="B171" s="168"/>
      <c r="C171" s="58" t="s">
        <v>252</v>
      </c>
      <c r="D171" s="24"/>
      <c r="E171" s="9"/>
      <c r="F171" s="9"/>
      <c r="G171" s="9"/>
      <c r="H171" s="9"/>
      <c r="I171" s="9"/>
      <c r="J171" s="9"/>
      <c r="K171" s="9"/>
      <c r="L171" s="9"/>
      <c r="M171" s="9"/>
      <c r="N171" s="15"/>
      <c r="O171" s="9"/>
      <c r="P171" s="9"/>
      <c r="Q171" s="9"/>
      <c r="R171" s="9"/>
    </row>
    <row r="172" spans="1:18">
      <c r="A172" s="64"/>
      <c r="B172" s="64"/>
      <c r="D172" s="9"/>
      <c r="E172" s="9"/>
      <c r="F172" s="9"/>
      <c r="G172" s="9"/>
      <c r="H172" s="9"/>
      <c r="I172" s="9"/>
      <c r="J172" s="9"/>
      <c r="K172" s="9"/>
      <c r="L172" s="9"/>
      <c r="M172" s="9"/>
      <c r="N172" s="15"/>
      <c r="O172" s="9"/>
      <c r="P172" s="9"/>
      <c r="Q172" s="9"/>
      <c r="R172" s="9"/>
    </row>
    <row r="173" spans="1:18">
      <c r="A173" s="59" t="s">
        <v>15</v>
      </c>
      <c r="B173" s="31" t="s">
        <v>16</v>
      </c>
      <c r="C173" s="60" t="s">
        <v>17</v>
      </c>
      <c r="D173" s="31" t="s">
        <v>18</v>
      </c>
      <c r="E173" s="31" t="s">
        <v>19</v>
      </c>
      <c r="F173" s="31" t="s">
        <v>20</v>
      </c>
      <c r="G173" s="31" t="s">
        <v>21</v>
      </c>
      <c r="H173" s="31" t="s">
        <v>22</v>
      </c>
      <c r="I173" s="31" t="s">
        <v>23</v>
      </c>
      <c r="J173" s="31" t="s">
        <v>24</v>
      </c>
      <c r="K173" s="31" t="s">
        <v>25</v>
      </c>
      <c r="L173" s="31" t="s">
        <v>26</v>
      </c>
      <c r="M173" s="31" t="s">
        <v>27</v>
      </c>
      <c r="N173" s="31" t="s">
        <v>28</v>
      </c>
      <c r="O173" s="31" t="s">
        <v>29</v>
      </c>
      <c r="P173" s="31" t="s">
        <v>30</v>
      </c>
      <c r="Q173" s="31" t="s">
        <v>31</v>
      </c>
      <c r="R173" s="31" t="s">
        <v>32</v>
      </c>
    </row>
    <row r="174" spans="1:18">
      <c r="A174" s="61">
        <v>1779105638943</v>
      </c>
      <c r="B174" s="34">
        <v>9264</v>
      </c>
      <c r="C174" s="6" t="s">
        <v>33</v>
      </c>
      <c r="D174" s="34">
        <v>200</v>
      </c>
      <c r="E174" s="34" t="s">
        <v>34</v>
      </c>
      <c r="F174" s="34" t="s">
        <v>35</v>
      </c>
      <c r="G174" s="34" t="s">
        <v>36</v>
      </c>
      <c r="H174" s="34" t="b">
        <v>1</v>
      </c>
      <c r="I174" s="34"/>
      <c r="J174" s="34">
        <v>207</v>
      </c>
      <c r="K174" s="34">
        <v>459</v>
      </c>
      <c r="L174" s="34">
        <v>2</v>
      </c>
      <c r="M174" s="34">
        <v>2</v>
      </c>
      <c r="N174" s="6" t="s">
        <v>37</v>
      </c>
      <c r="O174" s="34">
        <v>9264</v>
      </c>
      <c r="P174" s="34">
        <v>0</v>
      </c>
      <c r="Q174" s="34">
        <v>1</v>
      </c>
      <c r="R174" s="61"/>
    </row>
    <row r="175" spans="1:18">
      <c r="A175" s="61">
        <v>1779105638943</v>
      </c>
      <c r="B175" s="34">
        <v>16272</v>
      </c>
      <c r="C175" s="6" t="s">
        <v>33</v>
      </c>
      <c r="D175" s="34">
        <v>200</v>
      </c>
      <c r="E175" s="34" t="s">
        <v>34</v>
      </c>
      <c r="F175" s="34" t="s">
        <v>99</v>
      </c>
      <c r="G175" s="34" t="s">
        <v>36</v>
      </c>
      <c r="H175" s="34" t="b">
        <v>1</v>
      </c>
      <c r="I175" s="34"/>
      <c r="J175" s="34">
        <v>207</v>
      </c>
      <c r="K175" s="34">
        <v>459</v>
      </c>
      <c r="L175" s="34">
        <v>2</v>
      </c>
      <c r="M175" s="34">
        <v>2</v>
      </c>
      <c r="N175" s="6" t="s">
        <v>37</v>
      </c>
      <c r="O175" s="34">
        <v>16272</v>
      </c>
      <c r="P175" s="34">
        <v>0</v>
      </c>
      <c r="Q175" s="34">
        <v>1</v>
      </c>
      <c r="R175" s="61"/>
    </row>
    <row r="176" spans="1:18">
      <c r="A176" s="61">
        <v>1779105655213</v>
      </c>
      <c r="B176" s="34">
        <v>291</v>
      </c>
      <c r="C176" s="6" t="s">
        <v>38</v>
      </c>
      <c r="D176" s="34">
        <v>200</v>
      </c>
      <c r="E176" s="34" t="s">
        <v>34</v>
      </c>
      <c r="F176" s="34" t="s">
        <v>99</v>
      </c>
      <c r="G176" s="34" t="s">
        <v>36</v>
      </c>
      <c r="H176" s="34" t="b">
        <v>1</v>
      </c>
      <c r="I176" s="34"/>
      <c r="J176" s="34">
        <v>17975</v>
      </c>
      <c r="K176" s="34">
        <v>346</v>
      </c>
      <c r="L176" s="34">
        <v>2</v>
      </c>
      <c r="M176" s="34">
        <v>2</v>
      </c>
      <c r="N176" s="6" t="s">
        <v>37</v>
      </c>
      <c r="O176" s="34">
        <v>291</v>
      </c>
      <c r="P176" s="34">
        <v>0</v>
      </c>
      <c r="Q176" s="34">
        <v>0</v>
      </c>
      <c r="R176" s="61"/>
    </row>
    <row r="177" spans="1:18">
      <c r="A177" s="61">
        <v>1779105655213</v>
      </c>
      <c r="B177" s="34">
        <v>524</v>
      </c>
      <c r="C177" s="6" t="s">
        <v>38</v>
      </c>
      <c r="D177" s="34">
        <v>200</v>
      </c>
      <c r="E177" s="34" t="s">
        <v>34</v>
      </c>
      <c r="F177" s="34" t="s">
        <v>35</v>
      </c>
      <c r="G177" s="34" t="s">
        <v>36</v>
      </c>
      <c r="H177" s="34" t="b">
        <v>1</v>
      </c>
      <c r="I177" s="34"/>
      <c r="J177" s="34">
        <v>17975</v>
      </c>
      <c r="K177" s="34">
        <v>346</v>
      </c>
      <c r="L177" s="34">
        <v>2</v>
      </c>
      <c r="M177" s="34">
        <v>2</v>
      </c>
      <c r="N177" s="6" t="s">
        <v>37</v>
      </c>
      <c r="O177" s="34">
        <v>524</v>
      </c>
      <c r="P177" s="34">
        <v>0</v>
      </c>
      <c r="Q177" s="34">
        <v>0</v>
      </c>
      <c r="R177" s="61"/>
    </row>
    <row r="178" spans="1:18">
      <c r="A178" s="61">
        <v>1779105655739</v>
      </c>
      <c r="B178" s="34">
        <v>147</v>
      </c>
      <c r="C178" s="6" t="s">
        <v>39</v>
      </c>
      <c r="D178" s="34">
        <v>200</v>
      </c>
      <c r="E178" s="34" t="s">
        <v>34</v>
      </c>
      <c r="F178" s="34" t="s">
        <v>99</v>
      </c>
      <c r="G178" s="34" t="s">
        <v>36</v>
      </c>
      <c r="H178" s="34" t="b">
        <v>1</v>
      </c>
      <c r="I178" s="34"/>
      <c r="J178" s="34">
        <v>341</v>
      </c>
      <c r="K178" s="34">
        <v>389</v>
      </c>
      <c r="L178" s="34">
        <v>2</v>
      </c>
      <c r="M178" s="34">
        <v>2</v>
      </c>
      <c r="N178" s="6" t="s">
        <v>37</v>
      </c>
      <c r="O178" s="34">
        <v>147</v>
      </c>
      <c r="P178" s="34">
        <v>0</v>
      </c>
      <c r="Q178" s="34">
        <v>0</v>
      </c>
      <c r="R178" s="61"/>
    </row>
    <row r="179" spans="1:18">
      <c r="A179" s="61">
        <v>1779105655739</v>
      </c>
      <c r="B179" s="34">
        <v>215</v>
      </c>
      <c r="C179" s="6" t="s">
        <v>39</v>
      </c>
      <c r="D179" s="34">
        <v>200</v>
      </c>
      <c r="E179" s="34" t="s">
        <v>34</v>
      </c>
      <c r="F179" s="34" t="s">
        <v>35</v>
      </c>
      <c r="G179" s="34" t="s">
        <v>36</v>
      </c>
      <c r="H179" s="34" t="b">
        <v>1</v>
      </c>
      <c r="I179" s="34"/>
      <c r="J179" s="34">
        <v>341</v>
      </c>
      <c r="K179" s="34">
        <v>389</v>
      </c>
      <c r="L179" s="34">
        <v>2</v>
      </c>
      <c r="M179" s="34">
        <v>2</v>
      </c>
      <c r="N179" s="6" t="s">
        <v>37</v>
      </c>
      <c r="O179" s="34">
        <v>215</v>
      </c>
      <c r="P179" s="34">
        <v>0</v>
      </c>
      <c r="Q179" s="34">
        <v>0</v>
      </c>
      <c r="R179" s="61"/>
    </row>
    <row r="180" spans="1:18">
      <c r="A180" s="61">
        <v>1779105655956</v>
      </c>
      <c r="B180" s="34">
        <v>139</v>
      </c>
      <c r="C180" s="6" t="s">
        <v>40</v>
      </c>
      <c r="D180" s="34">
        <v>200</v>
      </c>
      <c r="E180" s="34" t="s">
        <v>34</v>
      </c>
      <c r="F180" s="34" t="s">
        <v>99</v>
      </c>
      <c r="G180" s="34" t="s">
        <v>36</v>
      </c>
      <c r="H180" s="34" t="b">
        <v>1</v>
      </c>
      <c r="I180" s="34"/>
      <c r="J180" s="34">
        <v>292</v>
      </c>
      <c r="K180" s="34">
        <v>372</v>
      </c>
      <c r="L180" s="34">
        <v>2</v>
      </c>
      <c r="M180" s="34">
        <v>2</v>
      </c>
      <c r="N180" s="6" t="s">
        <v>37</v>
      </c>
      <c r="O180" s="34">
        <v>139</v>
      </c>
      <c r="P180" s="34">
        <v>0</v>
      </c>
      <c r="Q180" s="34">
        <v>0</v>
      </c>
      <c r="R180" s="61"/>
    </row>
    <row r="181" spans="1:18" ht="15" thickBot="1">
      <c r="A181" s="62">
        <v>1779105655956</v>
      </c>
      <c r="B181" s="39">
        <v>212</v>
      </c>
      <c r="C181" s="63" t="s">
        <v>40</v>
      </c>
      <c r="D181" s="39">
        <v>200</v>
      </c>
      <c r="E181" s="39" t="s">
        <v>34</v>
      </c>
      <c r="F181" s="39" t="s">
        <v>35</v>
      </c>
      <c r="G181" s="39" t="s">
        <v>36</v>
      </c>
      <c r="H181" s="39" t="b">
        <v>1</v>
      </c>
      <c r="I181" s="39"/>
      <c r="J181" s="39">
        <v>292</v>
      </c>
      <c r="K181" s="39">
        <v>372</v>
      </c>
      <c r="L181" s="39">
        <v>1</v>
      </c>
      <c r="M181" s="39">
        <v>1</v>
      </c>
      <c r="N181" s="63" t="s">
        <v>37</v>
      </c>
      <c r="O181" s="39">
        <v>212</v>
      </c>
      <c r="P181" s="39">
        <v>0</v>
      </c>
      <c r="Q181" s="39">
        <v>0</v>
      </c>
      <c r="R181" s="62"/>
    </row>
  </sheetData>
  <mergeCells count="45">
    <mergeCell ref="A162:B162"/>
    <mergeCell ref="A170:B170"/>
    <mergeCell ref="A171:B171"/>
    <mergeCell ref="A135:B135"/>
    <mergeCell ref="A143:B143"/>
    <mergeCell ref="A144:B144"/>
    <mergeCell ref="A152:B152"/>
    <mergeCell ref="A153:B153"/>
    <mergeCell ref="A161:B161"/>
    <mergeCell ref="A134:B134"/>
    <mergeCell ref="A81:B81"/>
    <mergeCell ref="A89:B89"/>
    <mergeCell ref="A90:B90"/>
    <mergeCell ref="A98:B98"/>
    <mergeCell ref="A99:B99"/>
    <mergeCell ref="A107:B107"/>
    <mergeCell ref="A108:B108"/>
    <mergeCell ref="A116:B116"/>
    <mergeCell ref="A117:B117"/>
    <mergeCell ref="A125:B125"/>
    <mergeCell ref="A126:B126"/>
    <mergeCell ref="A80:B80"/>
    <mergeCell ref="A27:B27"/>
    <mergeCell ref="A35:B35"/>
    <mergeCell ref="A36:B36"/>
    <mergeCell ref="A44:B44"/>
    <mergeCell ref="A45:B45"/>
    <mergeCell ref="A53:B53"/>
    <mergeCell ref="A54:B54"/>
    <mergeCell ref="A62:B62"/>
    <mergeCell ref="A63:B63"/>
    <mergeCell ref="A71:B71"/>
    <mergeCell ref="A72:B72"/>
    <mergeCell ref="A26:B26"/>
    <mergeCell ref="A1:B1"/>
    <mergeCell ref="A2:B2"/>
    <mergeCell ref="A3:B3"/>
    <mergeCell ref="A4:B4"/>
    <mergeCell ref="A5:B5"/>
    <mergeCell ref="A6:B6"/>
    <mergeCell ref="A7:B7"/>
    <mergeCell ref="A8:B8"/>
    <mergeCell ref="A9:B9"/>
    <mergeCell ref="A17:B17"/>
    <mergeCell ref="A18:B18"/>
  </mergeCells>
  <hyperlinks>
    <hyperlink ref="N66" r:id="rId1" xr:uid="{46ECC9BF-AA63-48A2-A36A-B6A869348D4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4B192-7FE8-43A2-910C-54BD2B587E84}">
  <dimension ref="A1:B2"/>
  <sheetViews>
    <sheetView workbookViewId="0">
      <selection activeCell="B11" sqref="B11"/>
    </sheetView>
  </sheetViews>
  <sheetFormatPr defaultRowHeight="14.45"/>
  <cols>
    <col min="1" max="1" width="44.5703125" customWidth="1"/>
    <col min="2" max="2" width="29.5703125" customWidth="1"/>
  </cols>
  <sheetData>
    <row r="1" spans="1:2">
      <c r="A1" s="158" t="s">
        <v>253</v>
      </c>
      <c r="B1" s="59" t="s">
        <v>254</v>
      </c>
    </row>
    <row r="2" spans="1:2">
      <c r="A2" s="159" t="s">
        <v>190</v>
      </c>
      <c r="B2" s="160" t="s">
        <v>255</v>
      </c>
    </row>
  </sheetData>
  <hyperlinks>
    <hyperlink ref="B2" r:id="rId1" display="../../../../../../:f:/p/shray_saxena1/IgCuTVyKq733SKiXJ8ag15NOAenCr5R-VjjOj0FBskm7LB0?email=anuja.manoj.jain%40hp.com&amp;e=hRYeyZ" xr:uid="{B02E6431-1DC7-4C74-8121-C6AD0D3FE2E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40AF4-FD8A-4E38-AEB2-A81D608A5D70}">
  <dimension ref="A1:F19"/>
  <sheetViews>
    <sheetView tabSelected="1" topLeftCell="B1" zoomScale="80" zoomScaleNormal="80" workbookViewId="0">
      <pane ySplit="1" topLeftCell="A2" activePane="bottomLeft" state="frozen"/>
      <selection pane="bottomLeft" activeCell="H7" sqref="H7"/>
    </sheetView>
  </sheetViews>
  <sheetFormatPr defaultColWidth="8.85546875" defaultRowHeight="14.45"/>
  <cols>
    <col min="1" max="1" width="16.5703125" style="2" customWidth="1"/>
    <col min="2" max="2" width="97" style="2" customWidth="1"/>
    <col min="3" max="3" width="30.85546875" style="150" customWidth="1"/>
    <col min="4" max="4" width="30.42578125" style="150" customWidth="1"/>
    <col min="5" max="5" width="29" style="2" customWidth="1"/>
    <col min="6" max="6" width="19" style="2" customWidth="1"/>
    <col min="7" max="16384" width="8.85546875" style="2"/>
  </cols>
  <sheetData>
    <row r="1" spans="1:6" s="67" customFormat="1" ht="26.45">
      <c r="A1" s="31" t="s">
        <v>256</v>
      </c>
      <c r="B1" s="31" t="s">
        <v>257</v>
      </c>
      <c r="C1" s="144" t="s">
        <v>258</v>
      </c>
      <c r="D1" s="145" t="s">
        <v>259</v>
      </c>
      <c r="E1" s="145" t="s">
        <v>260</v>
      </c>
      <c r="F1" s="31" t="s">
        <v>261</v>
      </c>
    </row>
    <row r="2" spans="1:6" s="67" customFormat="1" ht="29.1">
      <c r="A2" s="81" t="s">
        <v>262</v>
      </c>
      <c r="B2" s="3" t="s">
        <v>263</v>
      </c>
      <c r="C2" s="3" t="s">
        <v>264</v>
      </c>
      <c r="D2" s="151" t="s">
        <v>265</v>
      </c>
      <c r="E2" s="82"/>
      <c r="F2" s="153" t="s">
        <v>266</v>
      </c>
    </row>
    <row r="3" spans="1:6" s="67" customFormat="1" ht="29.1">
      <c r="A3" s="81" t="s">
        <v>267</v>
      </c>
      <c r="B3" s="3" t="s">
        <v>268</v>
      </c>
      <c r="C3" s="3" t="s">
        <v>269</v>
      </c>
      <c r="D3" s="151"/>
      <c r="E3" s="82"/>
      <c r="F3" s="153" t="s">
        <v>266</v>
      </c>
    </row>
    <row r="4" spans="1:6" s="67" customFormat="1" ht="29.1">
      <c r="A4" s="81" t="s">
        <v>270</v>
      </c>
      <c r="B4" s="3" t="s">
        <v>271</v>
      </c>
      <c r="C4" s="3" t="s">
        <v>272</v>
      </c>
      <c r="D4" s="151"/>
      <c r="E4" s="82"/>
      <c r="F4" s="153" t="s">
        <v>266</v>
      </c>
    </row>
    <row r="5" spans="1:6" ht="29.1">
      <c r="A5" s="68" t="s">
        <v>49</v>
      </c>
      <c r="B5" s="4" t="s">
        <v>273</v>
      </c>
      <c r="C5" s="3" t="s">
        <v>274</v>
      </c>
      <c r="D5" s="151" t="s">
        <v>275</v>
      </c>
      <c r="E5" s="4" t="s">
        <v>276</v>
      </c>
      <c r="F5" s="153" t="s">
        <v>266</v>
      </c>
    </row>
    <row r="6" spans="1:6" ht="29.1">
      <c r="A6" s="21" t="s">
        <v>64</v>
      </c>
      <c r="B6" s="4" t="s">
        <v>277</v>
      </c>
      <c r="C6" s="3" t="s">
        <v>278</v>
      </c>
      <c r="D6" s="151" t="s">
        <v>279</v>
      </c>
      <c r="E6" s="4" t="s">
        <v>280</v>
      </c>
      <c r="F6" s="153" t="s">
        <v>266</v>
      </c>
    </row>
    <row r="7" spans="1:6" ht="29.1">
      <c r="A7" s="21" t="s">
        <v>64</v>
      </c>
      <c r="B7" s="4" t="s">
        <v>281</v>
      </c>
      <c r="C7" s="3" t="s">
        <v>282</v>
      </c>
      <c r="D7" s="151" t="s">
        <v>282</v>
      </c>
      <c r="E7" s="4" t="s">
        <v>282</v>
      </c>
      <c r="F7" s="153" t="s">
        <v>283</v>
      </c>
    </row>
    <row r="8" spans="1:6" ht="29.1">
      <c r="A8" s="21" t="s">
        <v>82</v>
      </c>
      <c r="B8" s="4" t="s">
        <v>284</v>
      </c>
      <c r="C8" s="3" t="s">
        <v>285</v>
      </c>
      <c r="D8" s="151" t="s">
        <v>286</v>
      </c>
      <c r="E8" s="4" t="s">
        <v>287</v>
      </c>
      <c r="F8" s="153" t="s">
        <v>266</v>
      </c>
    </row>
    <row r="9" spans="1:6" ht="29.1">
      <c r="A9" s="21" t="s">
        <v>79</v>
      </c>
      <c r="B9" s="4" t="s">
        <v>288</v>
      </c>
      <c r="C9" s="3" t="s">
        <v>289</v>
      </c>
      <c r="D9" s="151" t="s">
        <v>290</v>
      </c>
      <c r="E9" s="4" t="s">
        <v>291</v>
      </c>
      <c r="F9" s="153" t="s">
        <v>266</v>
      </c>
    </row>
    <row r="10" spans="1:6" ht="29.1">
      <c r="A10" s="21" t="s">
        <v>85</v>
      </c>
      <c r="B10" s="4" t="s">
        <v>292</v>
      </c>
      <c r="C10" s="3" t="s">
        <v>293</v>
      </c>
      <c r="D10" s="151" t="s">
        <v>294</v>
      </c>
      <c r="E10" s="4" t="s">
        <v>295</v>
      </c>
      <c r="F10" s="153" t="s">
        <v>266</v>
      </c>
    </row>
    <row r="11" spans="1:6" ht="29.1">
      <c r="A11" s="21" t="s">
        <v>88</v>
      </c>
      <c r="B11" s="4" t="s">
        <v>296</v>
      </c>
      <c r="C11" s="3" t="s">
        <v>297</v>
      </c>
      <c r="D11" s="151" t="s">
        <v>298</v>
      </c>
      <c r="E11" s="4" t="s">
        <v>299</v>
      </c>
      <c r="F11" s="153" t="s">
        <v>266</v>
      </c>
    </row>
    <row r="12" spans="1:6" ht="29.1">
      <c r="A12" s="21" t="s">
        <v>91</v>
      </c>
      <c r="B12" s="4" t="s">
        <v>300</v>
      </c>
      <c r="C12" s="3" t="s">
        <v>301</v>
      </c>
      <c r="D12" s="151" t="s">
        <v>302</v>
      </c>
      <c r="E12" s="4"/>
      <c r="F12" s="153" t="s">
        <v>266</v>
      </c>
    </row>
    <row r="13" spans="1:6" ht="29.1">
      <c r="A13" s="21" t="s">
        <v>93</v>
      </c>
      <c r="B13" s="4" t="s">
        <v>303</v>
      </c>
      <c r="C13" s="3" t="s">
        <v>304</v>
      </c>
      <c r="D13" s="151" t="s">
        <v>305</v>
      </c>
      <c r="E13" s="4" t="s">
        <v>306</v>
      </c>
      <c r="F13" s="153" t="s">
        <v>266</v>
      </c>
    </row>
    <row r="14" spans="1:6" ht="29.1">
      <c r="A14" s="68" t="s">
        <v>52</v>
      </c>
      <c r="B14" s="4" t="s">
        <v>307</v>
      </c>
      <c r="C14" s="3" t="s">
        <v>308</v>
      </c>
      <c r="D14" s="151" t="s">
        <v>309</v>
      </c>
      <c r="E14" s="4" t="s">
        <v>310</v>
      </c>
      <c r="F14" s="153" t="s">
        <v>266</v>
      </c>
    </row>
    <row r="15" spans="1:6" ht="29.1">
      <c r="A15" s="68" t="s">
        <v>55</v>
      </c>
      <c r="B15" s="4" t="s">
        <v>311</v>
      </c>
      <c r="C15" s="3" t="s">
        <v>312</v>
      </c>
      <c r="D15" s="151" t="s">
        <v>313</v>
      </c>
      <c r="E15" s="4" t="s">
        <v>314</v>
      </c>
      <c r="F15" s="153" t="s">
        <v>266</v>
      </c>
    </row>
    <row r="16" spans="1:6" ht="29.1">
      <c r="A16" s="68" t="s">
        <v>58</v>
      </c>
      <c r="B16" s="4" t="s">
        <v>315</v>
      </c>
      <c r="C16" s="3" t="s">
        <v>316</v>
      </c>
      <c r="D16" s="151" t="s">
        <v>317</v>
      </c>
      <c r="E16" s="4" t="s">
        <v>318</v>
      </c>
      <c r="F16" s="153" t="s">
        <v>266</v>
      </c>
    </row>
    <row r="17" spans="1:6" ht="29.1">
      <c r="A17" s="68" t="s">
        <v>61</v>
      </c>
      <c r="B17" s="4" t="s">
        <v>319</v>
      </c>
      <c r="C17" s="3"/>
      <c r="D17" s="151" t="s">
        <v>320</v>
      </c>
      <c r="E17" s="4" t="s">
        <v>321</v>
      </c>
      <c r="F17" s="153" t="s">
        <v>266</v>
      </c>
    </row>
    <row r="18" spans="1:6">
      <c r="A18" s="21"/>
      <c r="B18" s="4"/>
      <c r="C18" s="3"/>
      <c r="D18" s="3"/>
      <c r="E18" s="4"/>
      <c r="F18" s="4"/>
    </row>
    <row r="19" spans="1:6">
      <c r="A19" s="4"/>
      <c r="B19" s="4"/>
      <c r="C19" s="3"/>
      <c r="D19" s="3"/>
      <c r="E19" s="4"/>
      <c r="F19" s="4"/>
    </row>
  </sheetData>
  <hyperlinks>
    <hyperlink ref="F7" r:id="rId1" display="https://hp-jira.external.hp.com/browse/IQSW-6514" xr:uid="{27060C89-A653-4482-B94E-D1B069FE8EF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Saxena, Shray (CW)</dc:creator>
  <cp:keywords/>
  <dc:description/>
  <cp:lastModifiedBy/>
  <cp:revision/>
  <dcterms:created xsi:type="dcterms:W3CDTF">2015-06-05T18:17:20Z</dcterms:created>
  <dcterms:modified xsi:type="dcterms:W3CDTF">2026-06-10T11:21:37Z</dcterms:modified>
  <cp:category/>
  <cp:contentStatus/>
</cp:coreProperties>
</file>